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sigs" ContentType="application/vnd.openxmlformats-package.digital-signature-origin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2.xml" ContentType="application/vnd.openxmlformats-officedocument.spreadsheetml.pivotTable+xml"/>
  <Override PartName="/xl/pivotTables/pivotTable1.xml" ContentType="application/vnd.openxmlformats-officedocument.spreadsheetml.pivotTable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2.xml" ContentType="application/vnd.openxmlformats-officedocument.spreadsheetml.table+xml"/>
  <Override PartName="/xl/tables/table6.xml" ContentType="application/vnd.openxmlformats-officedocument.spreadsheetml.table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connections.xml" ContentType="application/vnd.openxmlformats-officedocument.spreadsheetml.connection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Cache/pivotCacheDefinition2.xml" ContentType="application/vnd.openxmlformats-officedocument.spreadsheetml.pivotCacheDefinition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_xmlsignatures/sig1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MG\ISMS\01_ITR-ISMS\01-7_DocMgt\01-7-X_STA_ITR-XlsTempl\_distributed\"/>
    </mc:Choice>
  </mc:AlternateContent>
  <xr:revisionPtr revIDLastSave="0" documentId="13_ncr:201_{BC013A1A-06B2-4E6E-BCAE-34C4C2558C97}" xr6:coauthVersionLast="47" xr6:coauthVersionMax="47" xr10:uidLastSave="{00000000-0000-0000-0000-000000000000}"/>
  <bookViews>
    <workbookView xWindow="-108" yWindow="-108" windowWidth="23256" windowHeight="12576" tabRatio="733" xr2:uid="{00000000-000D-0000-FFFF-FFFF00000000}"/>
  </bookViews>
  <sheets>
    <sheet name="Hist" sheetId="3" r:id="rId1"/>
    <sheet name="Structure" sheetId="17" r:id="rId2"/>
    <sheet name="Guide" sheetId="37" r:id="rId3"/>
    <sheet name="Table examples" sheetId="34" r:id="rId4"/>
    <sheet name="Pivot table example" sheetId="36" r:id="rId5"/>
  </sheets>
  <definedNames>
    <definedName name="_xlcn.WorksheetConnection_STA_I173_ITRXlsTempl_v1.1.1cha.xlsmTable3" hidden="1">Table3[]</definedName>
    <definedName name="_xlnm.Print_Area" localSheetId="2">Guide!$A$1:$E$35</definedName>
    <definedName name="_xlnm.Print_Area" localSheetId="0">Hist!$A$1:$D$25</definedName>
    <definedName name="_xlnm.Print_Area" localSheetId="3">'Table examples'!$A$1:$K$46</definedName>
  </definedNames>
  <calcPr calcId="191029"/>
  <pivotCaches>
    <pivotCache cacheId="6" r:id="rId6"/>
    <pivotCache cacheId="7" r:id="rId7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6" i="34" l="1"/>
  <c r="B13" i="37" a="1"/>
  <c r="B13" i="37" l="1"/>
  <c r="E30" i="34"/>
  <c r="B14" i="37" a="1"/>
  <c r="B14" i="37" l="1"/>
  <c r="C9" i="3"/>
  <c r="E46" i="34"/>
  <c r="E38" i="34"/>
  <c r="E22" i="34"/>
  <c r="E15" i="34"/>
  <c r="E8" i="34"/>
  <c r="K24" i="34"/>
  <c r="K8" i="3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<sst xmlns="http://schemas.openxmlformats.org/spreadsheetml/2006/main" count="270" uniqueCount="179">
  <si>
    <t>Version</t>
  </si>
  <si>
    <t>Classification</t>
  </si>
  <si>
    <t>Date</t>
  </si>
  <si>
    <t>Author</t>
  </si>
  <si>
    <t>Role</t>
  </si>
  <si>
    <t>Name</t>
  </si>
  <si>
    <t>Owner</t>
  </si>
  <si>
    <t>Status</t>
  </si>
  <si>
    <t>C. Harpes</t>
  </si>
  <si>
    <t>Content agreement</t>
  </si>
  <si>
    <t>Applicability</t>
  </si>
  <si>
    <t>Change management</t>
  </si>
  <si>
    <t>Information Security Management System (ISMS)</t>
  </si>
  <si>
    <t>1.0</t>
  </si>
  <si>
    <t>Contents</t>
  </si>
  <si>
    <t>Comments</t>
  </si>
  <si>
    <t>General information</t>
  </si>
  <si>
    <t>Final</t>
  </si>
  <si>
    <t>Total</t>
  </si>
  <si>
    <t>CISO</t>
  </si>
  <si>
    <t>Managing Director</t>
  </si>
  <si>
    <t>Tab name</t>
  </si>
  <si>
    <t>Approval</t>
  </si>
  <si>
    <t>Internal</t>
  </si>
  <si>
    <t>Column1</t>
  </si>
  <si>
    <t>This tab explains the content of all tabl in this worksheet.</t>
  </si>
  <si>
    <t>Excel template (ITR-XlsTempl)</t>
  </si>
  <si>
    <t>Document creation as extract form ITR-AssetInventory v2.9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</si>
  <si>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</si>
  <si>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</si>
  <si>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</si>
  <si>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</si>
  <si>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</si>
  <si>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</si>
  <si>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</si>
  <si>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</si>
  <si>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</si>
  <si>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</si>
  <si>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</si>
  <si>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</si>
  <si>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</si>
  <si>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Sum of rrrr</t>
  </si>
  <si>
    <t>Count of Comments</t>
  </si>
  <si>
    <t>Reference</t>
  </si>
  <si>
    <t>Application date</t>
  </si>
  <si>
    <t>Guide</t>
  </si>
  <si>
    <t>Hist</t>
  </si>
  <si>
    <t>History of the document and doc properties</t>
  </si>
  <si>
    <t>Explain all sheets</t>
  </si>
  <si>
    <t>Instruction for using this template</t>
  </si>
  <si>
    <t>Void</t>
  </si>
  <si>
    <t>Notes</t>
  </si>
  <si>
    <t>Test: TRUE=</t>
  </si>
  <si>
    <t>FALSE=</t>
  </si>
  <si>
    <t>If not, make sure that formulas are recalculated regularly.</t>
  </si>
  <si>
    <t>Process to adapt a document to this template</t>
  </si>
  <si>
    <t>Illustration of all tables defind as tables styles</t>
  </si>
  <si>
    <t>Structure</t>
  </si>
  <si>
    <t>Pivot table example</t>
  </si>
  <si>
    <t>Illustration of a preliminary pivot table example</t>
  </si>
  <si>
    <t>Open this template, save the current themes under the owner name (if not yet installed in Word): Entre Theme in QUERY, Select Theme &gt; Save current theme give name and click OK.</t>
  </si>
  <si>
    <t>Go to template, right mouse on sheet Tables examples, Move or copy (select Copy), and copy to the document to change.</t>
  </si>
  <si>
    <t>Open document to change, in Home&gt;Style&gt;Merge Styles, select this template, and click OK.</t>
  </si>
  <si>
    <t>Home&gt;Style&gt;Merge Styles, select the (saved) template, and click OK.</t>
  </si>
  <si>
    <t>Go to Document, select appropriate Theme (or both Font theme and color theme)</t>
  </si>
  <si>
    <t>Review all cells, and apply styles (Cell-Normal, Heading1, Heading2, …)</t>
  </si>
  <si>
    <t>Review all tables and select a table style (the nicest as giving "Tables examples"), adapt Banded row/column, first/last row/column according to your preference</t>
  </si>
  <si>
    <t>Column2</t>
  </si>
  <si>
    <t>Column3</t>
  </si>
  <si>
    <t>Column4</t>
  </si>
  <si>
    <t>Column5</t>
  </si>
  <si>
    <t>Style: Table_1</t>
  </si>
  <si>
    <t>Style: Table_2</t>
  </si>
  <si>
    <t>Style: Table_3</t>
  </si>
  <si>
    <t>Style: Table_5</t>
  </si>
  <si>
    <t>Style: Table_6</t>
  </si>
  <si>
    <t>Date/Signature</t>
  </si>
  <si>
    <t>1.7</t>
  </si>
  <si>
    <t>Changed Hist according to MAU revision, Projet to Activity in Heading, add style Number, failed to update title in Heading automatically</t>
  </si>
  <si>
    <t>Document history</t>
  </si>
  <si>
    <t>1.8</t>
  </si>
  <si>
    <t>Quality Manager</t>
  </si>
  <si>
    <t>Use last Version in History, can be changed manuall if different</t>
  </si>
  <si>
    <t>Merge with GenExcel to replace this. Change date format</t>
  </si>
  <si>
    <t>Type</t>
  </si>
  <si>
    <t>Description</t>
  </si>
  <si>
    <t>ACL</t>
  </si>
  <si>
    <t>Action list</t>
  </si>
  <si>
    <t>AUD</t>
  </si>
  <si>
    <t>Audit</t>
  </si>
  <si>
    <t>CON</t>
  </si>
  <si>
    <t>Contract</t>
  </si>
  <si>
    <t>Curriculum vitae</t>
  </si>
  <si>
    <t>DOL</t>
  </si>
  <si>
    <t>Document list</t>
  </si>
  <si>
    <t>EVA</t>
  </si>
  <si>
    <t>Evaluation</t>
  </si>
  <si>
    <t>EXC</t>
  </si>
  <si>
    <t>Expense claim</t>
  </si>
  <si>
    <t>IPR</t>
  </si>
  <si>
    <t>Intelectual property right</t>
  </si>
  <si>
    <t>LET</t>
  </si>
  <si>
    <t>Letter</t>
  </si>
  <si>
    <t>MAN</t>
  </si>
  <si>
    <t>Mandate</t>
  </si>
  <si>
    <t>MEM</t>
  </si>
  <si>
    <t>Memo</t>
  </si>
  <si>
    <t>MOD</t>
  </si>
  <si>
    <t>Model of document</t>
  </si>
  <si>
    <t>MOM</t>
  </si>
  <si>
    <t>Minutes of meeting</t>
  </si>
  <si>
    <t>NDA</t>
  </si>
  <si>
    <t>Non-disclosure agreement</t>
  </si>
  <si>
    <t>OFF</t>
  </si>
  <si>
    <t>PLA</t>
  </si>
  <si>
    <t>Plan</t>
  </si>
  <si>
    <t>POL</t>
  </si>
  <si>
    <t>Policy</t>
  </si>
  <si>
    <t>PRE</t>
  </si>
  <si>
    <t>Presentation</t>
  </si>
  <si>
    <t>PRO</t>
  </si>
  <si>
    <t>Procedure</t>
  </si>
  <si>
    <t>Purchase order</t>
  </si>
  <si>
    <t>QUE</t>
  </si>
  <si>
    <t>Questionnaire</t>
  </si>
  <si>
    <t>REP</t>
  </si>
  <si>
    <t>Report</t>
  </si>
  <si>
    <t>REC</t>
  </si>
  <si>
    <t>Records</t>
  </si>
  <si>
    <t>SDD</t>
  </si>
  <si>
    <t>Software design description</t>
  </si>
  <si>
    <t>SLA</t>
  </si>
  <si>
    <t>Service level agreement</t>
  </si>
  <si>
    <t>SRS</t>
  </si>
  <si>
    <t>Software requirement specification</t>
  </si>
  <si>
    <t>STA</t>
  </si>
  <si>
    <t>Standard</t>
  </si>
  <si>
    <t>SUM</t>
  </si>
  <si>
    <t>Summary</t>
  </si>
  <si>
    <t>Template of document</t>
  </si>
  <si>
    <t>Timesheet</t>
  </si>
  <si>
    <t>USG</t>
  </si>
  <si>
    <t>User guide</t>
  </si>
  <si>
    <t>INV</t>
  </si>
  <si>
    <t>Invoice, Bil</t>
  </si>
  <si>
    <t>PRS</t>
  </si>
  <si>
    <t>Presales, commercial</t>
  </si>
  <si>
    <t>old for Offer</t>
  </si>
  <si>
    <t>BDC</t>
  </si>
  <si>
    <t>Bon de Commande</t>
  </si>
  <si>
    <t>PO</t>
  </si>
  <si>
    <t>TEM</t>
  </si>
  <si>
    <t>TSH</t>
  </si>
  <si>
    <t>CV, CVeu</t>
  </si>
  <si>
    <t>This document is a macro enabled document for the definition of the variables IsFilled used to maintain manual coloring in case of "Conditional formating" changing the Filling</t>
  </si>
  <si>
    <t xml:space="preserve"> How to activate:</t>
  </si>
  <si>
    <t xml:space="preserve">Table examples </t>
  </si>
  <si>
    <t>Table_4</t>
  </si>
  <si>
    <t>1.9</t>
  </si>
  <si>
    <t>1. Activate macros; (if not yet done, and save document as *.xlsm"
2. Create (Open Developer &gt; Visual Basi &gt; Insert Module &gt; Copy this following 3 lines into this module): 
Function IsFilled(MyCell As Range) As Boolean
                             ' IsFilled = IIf(MyCell.Interior.ColorIndex = xlNone, False, True)
                               IsFilled = (MyCell.Interior.ColorIndex &lt;&gt; xlNone)              End Function'
3.Use in a cell to activate as done in the cell below:</t>
  </si>
  <si>
    <t>2.0</t>
  </si>
  <si>
    <t xml:space="preserve">
or see printed version 
managed by the CISO</t>
  </si>
  <si>
    <t>Style: Table_A (former B1)</t>
  </si>
  <si>
    <t>Style: Table_C</t>
  </si>
  <si>
    <t>Style: Table_B (former B2)</t>
  </si>
  <si>
    <t>2.1</t>
  </si>
  <si>
    <t>Review Table_A, _B, and _C to replace B1, B2, Migr Theme to ITR4</t>
  </si>
  <si>
    <t>Print area ends here</t>
  </si>
  <si>
    <t>2.2</t>
  </si>
  <si>
    <t>MD validation</t>
  </si>
  <si>
    <t>If the document has many tables with long titles, then the theme itrust-xls can be used as an alternative to the basic itrust theme. The heading fond will then be Bahnschift condensed instead of Century.</t>
  </si>
  <si>
    <t>2.3</t>
  </si>
  <si>
    <t>Note this tempace can be used with Theme ITR orv ITR-xls (for more condensed fonts).</t>
  </si>
  <si>
    <t>B. Hodzic</t>
  </si>
  <si>
    <t>Responsibility</t>
  </si>
  <si>
    <t>01-7-X</t>
  </si>
  <si>
    <t>Changed date fomat to dd.mm.yy, added TabHeader styles; Changed id from 01-7-C to 01-7-X; Doc update and review, REB removed as CISO asisstant, new theme color applied following the word template update; Changes TabHeader* to use lighter shading; Validation and distribution</t>
  </si>
  <si>
    <t>Update theme, review Table_B1, Better explain how to install the macro IsFilled.</t>
  </si>
  <si>
    <t>Align Tables with CGIE; Corrected styles to use Default (Body), not Heading. Change date format to dd.mm.yy; Simplify Hist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</si>
</sst>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9]dd\ mmmyy;@"/>
    <numFmt numFmtId="165" formatCode="dd\.mm\.yy"/>
  </numFmts>
  <fonts count="25" x14ac:knownFonts="1">
    <font>
      <sz val="8"/>
      <color theme="1"/>
      <name val="Corbel"/>
      <family val="2"/>
      <scheme val="minor"/>
    </font>
    <font>
      <sz val="11"/>
      <color theme="1"/>
      <name val="Corbel"/>
      <family val="2"/>
      <scheme val="minor"/>
    </font>
    <font>
      <sz val="9"/>
      <color theme="1"/>
      <name val="Corbel"/>
      <family val="2"/>
    </font>
    <font>
      <sz val="10"/>
      <color theme="1"/>
      <name val="Corbel"/>
      <family val="2"/>
    </font>
    <font>
      <sz val="11"/>
      <color theme="1"/>
      <name val="Corbel"/>
      <family val="2"/>
    </font>
    <font>
      <b/>
      <sz val="10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sz val="18"/>
      <color theme="3"/>
      <name val="Century"/>
      <family val="2"/>
      <scheme val="major"/>
    </font>
    <font>
      <b/>
      <sz val="9"/>
      <color theme="1"/>
      <name val="Corbel"/>
      <family val="2"/>
    </font>
    <font>
      <b/>
      <sz val="16"/>
      <name val="Century"/>
      <family val="2"/>
      <scheme val="major"/>
    </font>
    <font>
      <b/>
      <sz val="12"/>
      <name val="Century"/>
      <family val="2"/>
      <scheme val="major"/>
    </font>
    <font>
      <b/>
      <sz val="11"/>
      <name val="Century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Century"/>
      <family val="2"/>
      <scheme val="major"/>
    </font>
    <font>
      <b/>
      <sz val="11"/>
      <color theme="1"/>
      <name val="Century"/>
      <family val="2"/>
      <scheme val="major"/>
    </font>
    <font>
      <b/>
      <sz val="12"/>
      <color theme="1"/>
      <name val="Century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Century"/>
      <family val="2"/>
      <scheme val="major"/>
    </font>
    <font>
      <b/>
      <sz val="12"/>
      <color theme="1"/>
      <name val="Corbel"/>
      <family val="2"/>
      <scheme val="minor"/>
    </font>
    <font>
      <b/>
      <sz val="12"/>
      <color theme="1"/>
      <name val="Century"/>
      <family val="1"/>
      <scheme val="major"/>
    </font>
    <font>
      <b/>
      <sz val="10"/>
      <name val="Century"/>
      <family val="2"/>
      <scheme val="major"/>
    </font>
    <font>
      <sz val="10"/>
      <name val="Century"/>
      <family val="2"/>
      <scheme val="major"/>
    </font>
    <font>
      <sz val="11"/>
      <color theme="0"/>
      <name val="Corbel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BFA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27">
    <xf numFmtId="0" fontId="0" fillId="0" borderId="0"/>
    <xf numFmtId="0" fontId="19" fillId="5" borderId="1" applyNumberFormat="0" applyProtection="0">
      <alignment horizontal="center" vertical="center"/>
    </xf>
    <xf numFmtId="0" fontId="11" fillId="6" borderId="1" applyNumberFormat="0" applyProtection="0">
      <alignment horizontal="center" vertical="center"/>
    </xf>
    <xf numFmtId="0" fontId="12" fillId="7" borderId="1" applyNumberFormat="0" applyProtection="0">
      <alignment horizontal="left" vertical="center" indent="1"/>
    </xf>
    <xf numFmtId="0" fontId="13" fillId="9" borderId="1" applyNumberFormat="0" applyProtection="0">
      <alignment horizontal="left" vertical="center" indent="1"/>
    </xf>
    <xf numFmtId="0" fontId="14" fillId="0" borderId="0" applyFill="0" applyBorder="0" applyProtection="0">
      <alignment horizontal="left" vertical="top" wrapText="1" indent="1"/>
    </xf>
    <xf numFmtId="0" fontId="9" fillId="0" borderId="0" applyNumberFormat="0" applyFill="0" applyBorder="0" applyAlignment="0" applyProtection="0"/>
    <xf numFmtId="0" fontId="10" fillId="0" borderId="10" applyNumberFormat="0" applyFill="0" applyAlignment="0" applyProtection="0"/>
    <xf numFmtId="165" fontId="14" fillId="0" borderId="2" applyFill="0" applyBorder="0">
      <alignment horizontal="left" vertical="top" indent="1"/>
    </xf>
    <xf numFmtId="0" fontId="18" fillId="0" borderId="1">
      <alignment horizontal="right" wrapText="1" indent="1"/>
    </xf>
    <xf numFmtId="4" fontId="14" fillId="0" borderId="0" applyFill="0" applyBorder="0">
      <alignment horizontal="right" vertical="top" wrapText="1" indent="1"/>
    </xf>
    <xf numFmtId="0" fontId="14" fillId="0" borderId="2" applyFill="0" applyBorder="0" applyProtection="0">
      <alignment horizontal="left" vertical="top" indent="1"/>
    </xf>
    <xf numFmtId="0" fontId="20" fillId="11" borderId="13" applyBorder="0">
      <alignment horizontal="left" vertical="top" wrapText="1" indent="1"/>
    </xf>
    <xf numFmtId="0" fontId="21" fillId="13" borderId="14">
      <alignment horizontal="left" vertical="center" indent="1"/>
    </xf>
    <xf numFmtId="0" fontId="21" fillId="12" borderId="15">
      <alignment horizontal="left" vertical="center" indent="1"/>
    </xf>
    <xf numFmtId="0" fontId="17" fillId="16" borderId="17">
      <alignment horizontal="left" vertical="center" indent="1"/>
    </xf>
    <xf numFmtId="0" fontId="17" fillId="15" borderId="1">
      <alignment horizontal="left" vertical="center" indent="1"/>
    </xf>
    <xf numFmtId="0" fontId="17" fillId="14" borderId="18">
      <alignment horizontal="left" vertical="center" indent="1"/>
    </xf>
    <xf numFmtId="49" fontId="13" fillId="5" borderId="1">
      <alignment horizontal="left" textRotation="90" wrapText="1"/>
    </xf>
    <xf numFmtId="49" fontId="22" fillId="6" borderId="1">
      <alignment horizontal="left" textRotation="90" wrapText="1"/>
    </xf>
    <xf numFmtId="49" fontId="22" fillId="7" borderId="1">
      <alignment horizontal="left" textRotation="90" wrapText="1"/>
    </xf>
    <xf numFmtId="49" fontId="23" fillId="9" borderId="1">
      <alignment horizontal="left" textRotation="90" wrapText="1"/>
    </xf>
    <xf numFmtId="0" fontId="15" fillId="8" borderId="1" applyNumberFormat="0" applyFont="0" applyFill="0" applyBorder="0" applyProtection="0">
      <alignment horizontal="center" vertical="center" wrapText="1"/>
    </xf>
    <xf numFmtId="0" fontId="24" fillId="10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5" borderId="0" applyNumberFormat="0" applyBorder="0" applyAlignment="0" applyProtection="0"/>
  </cellStyleXfs>
  <cellXfs count="65">
    <xf numFmtId="0" fontId="0" fillId="0" borderId="0" xfId="0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8" xfId="0" applyFont="1" applyBorder="1" applyAlignment="1">
      <alignment vertical="center"/>
    </xf>
    <xf numFmtId="0" fontId="14" fillId="0" borderId="0" xfId="5">
      <alignment horizontal="left" vertical="top" wrapText="1" indent="1"/>
    </xf>
    <xf numFmtId="0" fontId="12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3" fillId="9" borderId="1" xfId="4">
      <alignment horizontal="left" vertical="center" indent="1"/>
    </xf>
    <xf numFmtId="165" fontId="14" fillId="0" borderId="2" xfId="8">
      <alignment horizontal="left" vertical="top" indent="1"/>
    </xf>
    <xf numFmtId="0" fontId="14" fillId="0" borderId="1" xfId="5" applyBorder="1">
      <alignment horizontal="left" vertical="top" wrapText="1" indent="1"/>
    </xf>
    <xf numFmtId="0" fontId="14" fillId="0" borderId="0" xfId="5" applyAlignment="1">
      <alignment horizontal="left" vertical="top" indent="1"/>
    </xf>
    <xf numFmtId="0" fontId="15" fillId="0" borderId="0" xfId="5" applyFont="1" applyAlignment="1">
      <alignment horizontal="left" vertical="top" indent="1"/>
    </xf>
    <xf numFmtId="0" fontId="15" fillId="0" borderId="0" xfId="5" applyFont="1">
      <alignment horizontal="left" vertical="top" wrapText="1" indent="1"/>
    </xf>
    <xf numFmtId="0" fontId="14" fillId="0" borderId="2" xfId="5" applyBorder="1">
      <alignment horizontal="left" vertical="top" wrapText="1" indent="1"/>
    </xf>
    <xf numFmtId="0" fontId="14" fillId="0" borderId="4" xfId="5" applyBorder="1">
      <alignment horizontal="left" vertical="top" wrapText="1" indent="1"/>
    </xf>
    <xf numFmtId="0" fontId="14" fillId="4" borderId="0" xfId="5" applyFill="1">
      <alignment horizontal="left" vertical="top" wrapText="1" indent="1"/>
    </xf>
    <xf numFmtId="0" fontId="3" fillId="0" borderId="0" xfId="0" applyFont="1" applyAlignment="1">
      <alignment vertical="center"/>
    </xf>
    <xf numFmtId="0" fontId="14" fillId="0" borderId="7" xfId="5" applyBorder="1">
      <alignment horizontal="left" vertical="top" wrapText="1" indent="1"/>
    </xf>
    <xf numFmtId="0" fontId="14" fillId="0" borderId="6" xfId="5" applyBorder="1">
      <alignment horizontal="left" vertical="top" wrapText="1" indent="1"/>
    </xf>
    <xf numFmtId="0" fontId="12" fillId="7" borderId="1" xfId="3">
      <alignment horizontal="left" vertical="center" indent="1"/>
    </xf>
    <xf numFmtId="0" fontId="4" fillId="2" borderId="12" xfId="0" applyFont="1" applyFill="1" applyBorder="1" applyAlignment="1">
      <alignment vertical="center"/>
    </xf>
    <xf numFmtId="0" fontId="13" fillId="9" borderId="1" xfId="4" applyAlignment="1">
      <alignment horizontal="left" vertical="center" wrapText="1" indent="1"/>
    </xf>
    <xf numFmtId="0" fontId="18" fillId="0" borderId="1" xfId="9">
      <alignment horizontal="right" wrapText="1" indent="1"/>
    </xf>
    <xf numFmtId="0" fontId="4" fillId="0" borderId="0" xfId="0" applyFont="1" applyAlignment="1">
      <alignment vertical="center" wrapText="1"/>
    </xf>
    <xf numFmtId="0" fontId="14" fillId="0" borderId="0" xfId="5" applyBorder="1">
      <alignment horizontal="left" vertical="top" wrapText="1" indent="1"/>
    </xf>
    <xf numFmtId="0" fontId="4" fillId="0" borderId="12" xfId="0" applyFont="1" applyBorder="1" applyAlignment="1">
      <alignment vertical="center"/>
    </xf>
    <xf numFmtId="0" fontId="14" fillId="0" borderId="0" xfId="5" applyFill="1">
      <alignment horizontal="left" vertical="top" wrapText="1" indent="1"/>
    </xf>
    <xf numFmtId="0" fontId="14" fillId="0" borderId="0" xfId="0" applyFont="1" applyAlignment="1">
      <alignment horizontal="left" vertical="top" wrapText="1" indent="1"/>
    </xf>
    <xf numFmtId="0" fontId="14" fillId="0" borderId="0" xfId="5" applyFill="1" applyAlignment="1">
      <alignment horizontal="left" vertical="top" indent="1"/>
    </xf>
    <xf numFmtId="165" fontId="14" fillId="0" borderId="9" xfId="8" applyBorder="1">
      <alignment horizontal="left" vertical="top" indent="1"/>
    </xf>
    <xf numFmtId="0" fontId="2" fillId="0" borderId="12" xfId="0" applyFont="1" applyBorder="1" applyAlignment="1">
      <alignment vertical="center" wrapText="1"/>
    </xf>
    <xf numFmtId="165" fontId="14" fillId="0" borderId="0" xfId="8" applyBorder="1">
      <alignment horizontal="left" vertical="top" indent="1"/>
    </xf>
    <xf numFmtId="0" fontId="13" fillId="9" borderId="0" xfId="4" applyBorder="1">
      <alignment horizontal="left" vertical="center" indent="1"/>
    </xf>
    <xf numFmtId="0" fontId="14" fillId="0" borderId="2" xfId="11" applyFill="1">
      <alignment horizontal="left" vertical="top" indent="1"/>
    </xf>
    <xf numFmtId="0" fontId="14" fillId="0" borderId="0" xfId="5" applyFill="1" applyAlignment="1">
      <alignment horizontal="left" vertical="top" wrapText="1"/>
    </xf>
    <xf numFmtId="164" fontId="13" fillId="9" borderId="1" xfId="4" applyNumberFormat="1">
      <alignment horizontal="left" vertical="center" indent="1"/>
    </xf>
    <xf numFmtId="0" fontId="13" fillId="9" borderId="11" xfId="4" applyBorder="1" applyAlignment="1">
      <alignment horizontal="right" vertical="center" indent="1"/>
    </xf>
    <xf numFmtId="0" fontId="14" fillId="0" borderId="21" xfId="5" applyBorder="1">
      <alignment horizontal="left" vertical="top" wrapText="1" indent="1"/>
    </xf>
    <xf numFmtId="0" fontId="14" fillId="0" borderId="22" xfId="5" applyBorder="1">
      <alignment horizontal="left" vertical="top" wrapText="1" indent="1"/>
    </xf>
    <xf numFmtId="0" fontId="14" fillId="0" borderId="23" xfId="5" applyBorder="1">
      <alignment horizontal="left" vertical="top" wrapText="1" indent="1"/>
    </xf>
    <xf numFmtId="0" fontId="14" fillId="0" borderId="24" xfId="5" applyBorder="1">
      <alignment horizontal="left" vertical="top" wrapText="1" indent="1"/>
    </xf>
    <xf numFmtId="0" fontId="5" fillId="0" borderId="0" xfId="0" applyFont="1" applyAlignment="1">
      <alignment horizontal="left" vertical="center"/>
    </xf>
    <xf numFmtId="0" fontId="12" fillId="7" borderId="1" xfId="3">
      <alignment horizontal="left" vertical="center" indent="1"/>
    </xf>
    <xf numFmtId="0" fontId="4" fillId="0" borderId="3" xfId="0" applyFont="1" applyBorder="1" applyAlignment="1">
      <alignment horizontal="center" vertical="center"/>
    </xf>
    <xf numFmtId="165" fontId="14" fillId="0" borderId="21" xfId="8" applyBorder="1">
      <alignment horizontal="left" vertical="top" indent="1"/>
    </xf>
    <xf numFmtId="165" fontId="14" fillId="0" borderId="22" xfId="8" applyBorder="1">
      <alignment horizontal="left" vertical="top" indent="1"/>
    </xf>
    <xf numFmtId="0" fontId="13" fillId="9" borderId="5" xfId="4" applyBorder="1" applyAlignment="1">
      <alignment horizontal="right" vertical="center" indent="1"/>
    </xf>
    <xf numFmtId="0" fontId="19" fillId="5" borderId="1" xfId="1">
      <alignment horizontal="center" vertical="center"/>
    </xf>
    <xf numFmtId="0" fontId="11" fillId="6" borderId="1" xfId="2">
      <alignment horizontal="center" vertical="center"/>
    </xf>
    <xf numFmtId="0" fontId="13" fillId="9" borderId="9" xfId="4" applyBorder="1" applyAlignment="1">
      <alignment horizontal="right" vertical="center" indent="1"/>
    </xf>
    <xf numFmtId="0" fontId="14" fillId="0" borderId="19" xfId="5" applyBorder="1">
      <alignment horizontal="left" vertical="top" wrapText="1" indent="1"/>
    </xf>
    <xf numFmtId="0" fontId="14" fillId="0" borderId="20" xfId="5" applyBorder="1">
      <alignment horizontal="left" vertical="top" wrapText="1" indent="1"/>
    </xf>
    <xf numFmtId="0" fontId="19" fillId="5" borderId="2" xfId="1" applyBorder="1">
      <alignment horizontal="center" vertical="center"/>
    </xf>
    <xf numFmtId="0" fontId="19" fillId="5" borderId="4" xfId="1" applyBorder="1">
      <alignment horizontal="center" vertical="center"/>
    </xf>
    <xf numFmtId="0" fontId="21" fillId="12" borderId="15" xfId="14">
      <alignment horizontal="left" vertical="center" indent="1"/>
    </xf>
    <xf numFmtId="0" fontId="20" fillId="11" borderId="13" xfId="12">
      <alignment horizontal="left" vertical="top" wrapText="1" indent="1"/>
    </xf>
    <xf numFmtId="0" fontId="16" fillId="3" borderId="1" xfId="5" applyFont="1" applyFill="1" applyBorder="1" applyAlignment="1">
      <alignment horizontal="left" vertical="center" wrapText="1" indent="1"/>
    </xf>
    <xf numFmtId="0" fontId="21" fillId="13" borderId="0" xfId="13" applyBorder="1">
      <alignment horizontal="left" vertical="center" indent="1"/>
    </xf>
    <xf numFmtId="0" fontId="17" fillId="16" borderId="16" xfId="15" applyBorder="1">
      <alignment horizontal="left" vertical="center" indent="1"/>
    </xf>
    <xf numFmtId="0" fontId="17" fillId="15" borderId="1" xfId="16">
      <alignment horizontal="left" vertical="center" indent="1"/>
    </xf>
    <xf numFmtId="0" fontId="17" fillId="14" borderId="18" xfId="17">
      <alignment horizontal="left" vertical="center" indent="1"/>
    </xf>
  </cellXfs>
  <cellStyles count="27">
    <cellStyle name="20% - Accent3" xfId="24" builtinId="38" customBuiltin="1"/>
    <cellStyle name="40% - Accent3" xfId="25" builtinId="39" customBuiltin="1"/>
    <cellStyle name="60% - Accent3" xfId="26" builtinId="40" customBuiltin="1"/>
    <cellStyle name="Accent3" xfId="23" builtinId="37" customBuiltin="1"/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Not-V" xfId="22" xr:uid="{50E5006A-07E0-4CCA-9796-824099370096}"/>
    <cellStyle name="Number" xfId="10" xr:uid="{BB0F20D5-51C4-41B0-9CAA-D44405F8967A}"/>
    <cellStyle name="Signature" xfId="9" xr:uid="{062DEF26-C482-4649-BE84-11BEC5E59865}"/>
    <cellStyle name="TabHead1-V" xfId="18" xr:uid="{1A06001F-1FE1-4192-A0D2-2F0216664952}"/>
    <cellStyle name="TabHead2-V" xfId="19" xr:uid="{8F377C23-C172-4F0C-8C1B-0377F7F3C4DE}"/>
    <cellStyle name="TabHead3-V" xfId="20" xr:uid="{A04830D4-3756-4768-9AF3-A10EFA240223}"/>
    <cellStyle name="TabHead4-V" xfId="21" xr:uid="{BD71C453-F2A3-4EA9-A603-6F0FE13BC82F}"/>
    <cellStyle name="TabHeader_1" xfId="15" xr:uid="{BF8C586F-D1F9-45EB-A914-10830BCED847}"/>
    <cellStyle name="TabHeader_2" xfId="16" xr:uid="{E48487A8-277F-428C-80B3-3B2828240E89}"/>
    <cellStyle name="TabHeader_3" xfId="17" xr:uid="{FD725159-3D02-4DB9-BEDA-AE3F4CA7CE94}"/>
    <cellStyle name="TabHeader_4" xfId="13" xr:uid="{F92C7780-1008-4770-8CCA-B088EA31DA6A}"/>
    <cellStyle name="TabHeader_5" xfId="14" xr:uid="{0D467430-E047-4559-A7B5-4736203ADF8E}"/>
    <cellStyle name="TabHeader_6" xfId="12" xr:uid="{6161DFAD-A9A7-4C30-A384-A8B69C45D0C0}"/>
    <cellStyle name="Title" xfId="6" builtinId="15" hidden="1"/>
    <cellStyle name="Total" xfId="7" builtinId="25" hidden="1"/>
  </cellStyles>
  <dxfs count="1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alignment horizontal="left" vertical="top" textRotation="0" wrapText="1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1" defaultTableStyle="TableStyleMedium2" defaultPivotStyle="PivotStyleLight16">
    <tableStyle name="PivotTable_1" table="0" count="14" xr9:uid="{D6F9E536-AE99-4E1F-9899-8EE2952B81D7}">
      <tableStyleElement type="headerRow" dxfId="134"/>
      <tableStyleElement type="totalRow" dxfId="133"/>
      <tableStyleElement type="firstColumn" dxfId="132"/>
      <tableStyleElement type="lastColumn" dxfId="131"/>
      <tableStyleElement type="firstSubtotalColumn" dxfId="130"/>
      <tableStyleElement type="secondSubtotalColumn" dxfId="129"/>
      <tableStyleElement type="firstSubtotalRow" dxfId="128"/>
      <tableStyleElement type="secondSubtotalRow" dxfId="127"/>
      <tableStyleElement type="firstColumnSubheading" dxfId="126"/>
      <tableStyleElement type="secondColumnSubheading" dxfId="125"/>
      <tableStyleElement type="firstRowSubheading" dxfId="124"/>
      <tableStyleElement type="secondRowSubheading" dxfId="123"/>
      <tableStyleElement type="thirdRowSubheading" dxfId="122"/>
      <tableStyleElement type="pageFieldLabels" dxfId="121"/>
    </tableStyle>
    <tableStyle name="PivotTable_2" table="0" count="14" xr9:uid="{98FAD84F-B566-4FA3-AD06-8E8BA71A9B10}">
      <tableStyleElement type="headerRow" dxfId="120"/>
      <tableStyleElement type="totalRow" dxfId="119"/>
      <tableStyleElement type="firstColumn" dxfId="118"/>
      <tableStyleElement type="lastColumn" dxfId="117"/>
      <tableStyleElement type="firstSubtotalColumn" dxfId="116"/>
      <tableStyleElement type="secondSubtotalColumn" dxfId="115"/>
      <tableStyleElement type="firstSubtotalRow" dxfId="114"/>
      <tableStyleElement type="secondSubtotalRow" dxfId="113"/>
      <tableStyleElement type="firstColumnSubheading" dxfId="112"/>
      <tableStyleElement type="secondColumnSubheading" dxfId="111"/>
      <tableStyleElement type="firstRowSubheading" dxfId="110"/>
      <tableStyleElement type="secondRowSubheading" dxfId="109"/>
      <tableStyleElement type="thirdRowSubheading" dxfId="108"/>
      <tableStyleElement type="pageFieldLabels" dxfId="107"/>
    </tableStyle>
    <tableStyle name="Table_1" pivot="0" count="7" xr9:uid="{00000000-0011-0000-FFFF-FFFF04000000}">
      <tableStyleElement type="wholeTable" dxfId="106"/>
      <tableStyleElement type="headerRow" dxfId="105"/>
      <tableStyleElement type="totalRow" dxfId="104"/>
      <tableStyleElement type="firstColumn" dxfId="103"/>
      <tableStyleElement type="lastColumn" dxfId="102"/>
      <tableStyleElement type="secondRowStripe" dxfId="101"/>
      <tableStyleElement type="firstColumnStripe" dxfId="100"/>
    </tableStyle>
    <tableStyle name="Table_2" pivot="0" count="7" xr9:uid="{00000000-0011-0000-FFFF-FFFF00000000}">
      <tableStyleElement type="wholeTable" dxfId="99"/>
      <tableStyleElement type="headerRow" dxfId="98"/>
      <tableStyleElement type="totalRow" dxfId="97"/>
      <tableStyleElement type="firstColumn" dxfId="96"/>
      <tableStyleElement type="lastColumn" dxfId="95"/>
      <tableStyleElement type="secondRowStripe" dxfId="94"/>
      <tableStyleElement type="firstColumnStripe" dxfId="93"/>
    </tableStyle>
    <tableStyle name="Table_3" pivot="0" count="7" xr9:uid="{00000000-0011-0000-FFFF-FFFF01000000}">
      <tableStyleElement type="wholeTable" dxfId="92"/>
      <tableStyleElement type="headerRow" dxfId="91"/>
      <tableStyleElement type="totalRow" dxfId="90"/>
      <tableStyleElement type="firstColumn" dxfId="89"/>
      <tableStyleElement type="lastColumn" dxfId="88"/>
      <tableStyleElement type="secondRowStripe" dxfId="87"/>
      <tableStyleElement type="firstColumnStripe" dxfId="86"/>
    </tableStyle>
    <tableStyle name="Table_4" pivot="0" count="9" xr9:uid="{0C0AE644-A081-4FE0-BFB2-E01EC15AADD2}">
      <tableStyleElement type="wholeTable" dxfId="85"/>
      <tableStyleElement type="headerRow" dxfId="84"/>
      <tableStyleElement type="totalRow" dxfId="83"/>
      <tableStyleElement type="firstColumn" dxfId="82"/>
      <tableStyleElement type="lastColumn" dxfId="81"/>
      <tableStyleElement type="firstRowStripe" dxfId="80"/>
      <tableStyleElement type="secondRowStripe" dxfId="79"/>
      <tableStyleElement type="firstColumnStripe" dxfId="78"/>
      <tableStyleElement type="secondColumnStripe" dxfId="77"/>
    </tableStyle>
    <tableStyle name="Table_5" pivot="0" count="7" xr9:uid="{288A2F39-F8C3-41A8-8C0A-250B6EDA9266}">
      <tableStyleElement type="wholeTable" dxfId="76"/>
      <tableStyleElement type="headerRow" dxfId="75"/>
      <tableStyleElement type="totalRow" dxfId="74"/>
      <tableStyleElement type="firstColumn" dxfId="73"/>
      <tableStyleElement type="lastColumn" dxfId="72"/>
      <tableStyleElement type="secondRowStripe" dxfId="71"/>
      <tableStyleElement type="firstColumnStripe" dxfId="70"/>
    </tableStyle>
    <tableStyle name="Table_6" pivot="0" count="7" xr9:uid="{92679619-5CE3-4163-A09C-BE8399647A9B}">
      <tableStyleElement type="wholeTable" dxfId="69"/>
      <tableStyleElement type="headerRow" dxfId="68"/>
      <tableStyleElement type="totalRow" dxfId="67"/>
      <tableStyleElement type="firstColumn" dxfId="66"/>
      <tableStyleElement type="lastColumn" dxfId="65"/>
      <tableStyleElement type="secondRowStripe" dxfId="64"/>
      <tableStyleElement type="firstColumnStripe" dxfId="63"/>
    </tableStyle>
    <tableStyle name="Table_A" pivot="0" count="8" xr9:uid="{D25C43D6-AF28-4C9B-8C2A-602AEEF2492E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secondRowStripe" dxfId="57"/>
      <tableStyleElement type="firstColumnStripe" dxfId="56"/>
      <tableStyleElement type="secondColumnStripe" dxfId="55"/>
    </tableStyle>
    <tableStyle name="Table_B" pivot="0" count="8" xr9:uid="{5B5A6AAA-A4F0-4B53-A8ED-7DD903B2BB95}">
      <tableStyleElement type="wholeTable" dxfId="54"/>
      <tableStyleElement type="headerRow" dxfId="53"/>
      <tableStyleElement type="totalRow" dxfId="52"/>
      <tableStyleElement type="firstColumn" dxfId="51"/>
      <tableStyleElement type="lastColumn" dxfId="50"/>
      <tableStyleElement type="secondRowStripe" dxfId="49"/>
      <tableStyleElement type="firstColumnStripe" dxfId="48"/>
      <tableStyleElement type="secondColumnStripe" dxfId="47"/>
    </tableStyle>
    <tableStyle name="Table_C" pivot="0" count="8" xr9:uid="{7C54C6C4-DD40-4D8E-9F21-68F5D0E80042}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secondRowStripe" dxfId="41"/>
      <tableStyleElement type="firstColumnStripe" dxfId="40"/>
      <tableStyleElement type="secondColumnStripe" dxfId="39"/>
    </tableStyle>
  </tableStyles>
  <colors>
    <mruColors>
      <color rgb="FFEBFAFF"/>
      <color rgb="FFD9F5FF"/>
      <color rgb="FFC1E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406497BE-593B-4065-822C-9ED8DAD96032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3BB29-63C7-46AB-933E-1D7FF51FF84A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C4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2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9104C2-E79F-4CE8-A40A-77EF455F0AEE}" name="Table1" displayName="Table1" ref="A18:D26" totalsRowShown="0" tableBorderDxfId="38" totalsRowBorderDxfId="37" headerRowCellStyle="Heading 4">
  <autoFilter ref="A18:D26" xr:uid="{DA53C3ED-75C2-4120-8DA7-F55F0FDEA131}"/>
  <tableColumns count="4">
    <tableColumn id="1" xr3:uid="{20333092-3320-4F4E-8B50-C3164A702ECA}" name="Version" dataDxfId="36" dataCellStyle="Cell-Normal"/>
    <tableColumn id="2" xr3:uid="{C4BF1A7A-5343-4ED3-B424-F1E933EE432F}" name="Date" dataCellStyle="Date"/>
    <tableColumn id="3" xr3:uid="{681AA722-74A6-4306-8999-B4E50BAAA429}" name="Author" dataDxfId="35" dataCellStyle="Cell-Normal"/>
    <tableColumn id="4" xr3:uid="{8522AC1F-D7AD-44E7-8FE7-7BF2C67B35A1}" name="Change management" dataDxfId="34" dataCellStyle="Cell-Normal"/>
  </tableColumns>
  <tableStyleInfo name="Table_B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6" totalsRowShown="0" headerRowDxfId="30" headerRowCellStyle="Heading 3" dataCellStyle="Cell-Normal">
  <autoFilter ref="A1:D6" xr:uid="{00000000-0009-0000-0100-000003000000}"/>
  <tableColumns count="4">
    <tableColumn id="1" xr3:uid="{00000000-0010-0000-0000-000001000000}" name="Tab name" dataCellStyle="Heading 4"/>
    <tableColumn id="2" xr3:uid="{00000000-0010-0000-0000-000002000000}" name="Contents" dataDxfId="29" dataCellStyle="Cell-Normal"/>
    <tableColumn id="3" xr3:uid="{00000000-0010-0000-0000-000003000000}" name="Comments" dataDxfId="28" dataCellStyle="Cell-Normal"/>
    <tableColumn id="4" xr3:uid="{1B8FDF6E-4960-4789-98B3-58D222A2D1F8}" name="Void" dataDxfId="27" dataCellStyle="Cell-Normal"/>
  </tableColumns>
  <tableStyleInfo name="Table_B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3165EA-BCD9-474A-8AA5-F5F7C967F3E7}" name="Table4" displayName="Table4" ref="D1:E35" totalsRowShown="0" headerRowCellStyle="Cell-Normal" dataCellStyle="Cell-Normal">
  <autoFilter ref="D1:E35" xr:uid="{844509D7-165E-41F0-8A6E-A5CE2C2144EA}"/>
  <sortState xmlns:xlrd2="http://schemas.microsoft.com/office/spreadsheetml/2017/richdata2" ref="D2:E35">
    <sortCondition ref="D2:D35"/>
  </sortState>
  <tableColumns count="2">
    <tableColumn id="1" xr3:uid="{AB32D27C-F241-418A-857E-BA1A154A4171}" name="Type" dataCellStyle="Cell-Normal"/>
    <tableColumn id="2" xr3:uid="{3E8A8340-04C3-4678-9525-578C1CEA4534}" name="Description" dataCellStyle="Cell-Normal"/>
  </tableColumns>
  <tableStyleInfo name="Table_B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1CCBF34-DAF7-464A-AC02-BE3C5B68EE8D}" name="Table_117" displayName="Table_117" ref="A3:E8" totalsRowCount="1" headerRowDxfId="26" headerRowCellStyle="Cell-Normal" dataCellStyle="Cell-Normal" totalsRowCellStyle="Cell-Normal">
  <autoFilter ref="A3:E7" xr:uid="{E81B851A-EE5A-43C3-88A1-2C98258DFF67}"/>
  <tableColumns count="5">
    <tableColumn id="1" xr3:uid="{95908389-B3CF-4C67-8D28-ECE2165544B4}" name="Column1" totalsRowLabel="Total" dataCellStyle="Cell-Normal" totalsRowCellStyle="Cell-Normal"/>
    <tableColumn id="2" xr3:uid="{D3DCDEC0-8982-4D32-AF9F-0C92EBC9732B}" name="Column2" dataCellStyle="Cell-Normal" totalsRowCellStyle="Cell-Normal"/>
    <tableColumn id="3" xr3:uid="{B6DA8211-4284-48EC-A9C6-D0E0F3C26C4E}" name="Column3" dataCellStyle="Cell-Normal" totalsRowCellStyle="Cell-Normal"/>
    <tableColumn id="4" xr3:uid="{B0546D31-B2BB-47D1-B35F-C0529739EA94}" name="Column4" dataCellStyle="Cell-Normal" totalsRowCellStyle="Cell-Normal"/>
    <tableColumn id="5" xr3:uid="{7AA31919-2C65-4187-BD2F-06CE85A0EC69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4C17A2-B0EF-4E63-983F-20651A7B0C6D}" name="Table_218" displayName="Table_218" ref="A11:E15" totalsRowCount="1" headerRowCellStyle="Cell-Normal" dataCellStyle="Cell-Normal" totalsRowCellStyle="Cell-Normal">
  <autoFilter ref="A11:E14" xr:uid="{F0634937-CC40-4149-8F17-07EEF91658B2}"/>
  <tableColumns count="5">
    <tableColumn id="1" xr3:uid="{86F046E1-A931-4BC9-A7FD-9F21AA5149C6}" name="Column1" totalsRowLabel="Total" dataCellStyle="Cell-Normal" totalsRowCellStyle="Cell-Normal"/>
    <tableColumn id="2" xr3:uid="{AFACC863-56C6-460D-8FD4-04AE25677F74}" name="Column2" dataCellStyle="Cell-Normal" totalsRowCellStyle="Cell-Normal"/>
    <tableColumn id="3" xr3:uid="{5499F864-5A23-4751-A3F4-88F963FDA130}" name="Column3" dataCellStyle="Cell-Normal" totalsRowCellStyle="Cell-Normal"/>
    <tableColumn id="4" xr3:uid="{72202380-F60E-440C-B53A-2781F323F82C}" name="Column4" dataCellStyle="Cell-Normal" totalsRowCellStyle="Cell-Normal"/>
    <tableColumn id="5" xr3:uid="{B5787292-DD53-4520-9691-ED7667A43812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D4F4E1-4B36-4F2C-8CE1-F57436D90169}" name="Table_319" displayName="Table_319" ref="A18:E22" totalsRowCount="1" headerRowCellStyle="Cell-Normal" dataCellStyle="Cell-Normal" totalsRowCellStyle="Cell-Normal">
  <autoFilter ref="A18:E21" xr:uid="{0C938759-B12F-48F9-960D-3C168DB21AA7}"/>
  <tableColumns count="5">
    <tableColumn id="1" xr3:uid="{D47B6C57-EDC9-4FDB-81FB-1781B45E6F25}" name="Column1" totalsRowLabel="Total" dataCellStyle="Cell-Normal" totalsRowCellStyle="Cell-Normal"/>
    <tableColumn id="2" xr3:uid="{DCC87CE1-7062-4789-A322-4B8D51EA58A7}" name="Column2" dataCellStyle="Cell-Normal" totalsRowCellStyle="Cell-Normal"/>
    <tableColumn id="3" xr3:uid="{F10EE19A-C5FF-4C20-A7AF-938E1232A664}" name="Column3" dataCellStyle="Cell-Normal" totalsRowCellStyle="Cell-Normal"/>
    <tableColumn id="4" xr3:uid="{C4D2A436-8640-4DB8-A56F-87B3E3274468}" name="Column4" dataCellStyle="Cell-Normal" totalsRowCellStyle="Cell-Normal"/>
    <tableColumn id="5" xr3:uid="{13CADFF9-F3F0-48CC-82AB-0BF0FF9A5EA1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2BD5EA7-76F5-446F-9B12-C1FC010A1055}" name="Table_521" displayName="Table_521" ref="A33:E38" totalsRowCount="1" headerRowCellStyle="Cell-Normal" dataCellStyle="Cell-Normal" totalsRowCellStyle="Cell-Normal">
  <autoFilter ref="A33:E37" xr:uid="{700C1EF3-7082-4BCE-B360-4F4D72E3823E}"/>
  <tableColumns count="5">
    <tableColumn id="1" xr3:uid="{EDFE4EE4-7091-431B-AFA7-E800B3CF8C2E}" name="Column1" totalsRowLabel="Total" dataCellStyle="Cell-Normal" totalsRowCellStyle="Cell-Normal"/>
    <tableColumn id="2" xr3:uid="{578FD72B-A990-4172-9B45-877BB12CD8D1}" name="Column2" dataCellStyle="Cell-Normal" totalsRowCellStyle="Cell-Normal"/>
    <tableColumn id="3" xr3:uid="{271DDC32-F58D-472E-A1B6-A285112BF9CA}" name="Column3" dataCellStyle="Cell-Normal" totalsRowCellStyle="Cell-Normal"/>
    <tableColumn id="4" xr3:uid="{860D3A5A-BF76-4FBE-B167-942D48EB9B3A}" name="Column4" dataCellStyle="Cell-Normal" totalsRowCellStyle="Cell-Normal"/>
    <tableColumn id="5" xr3:uid="{2861689F-A2B9-4189-AC4B-CEB4AB429051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44C7974-7D60-4EAC-B527-E8EF04C22CB2}" name="Table_B222" displayName="Table_B222" ref="G19:K24" totalsRowCount="1" headerRowDxfId="25" dataDxfId="24" totalsRowDxfId="23" headerRowCellStyle="Cell-Normal" dataCellStyle="Cell-Normal" totalsRowCellStyle="Cell-Normal">
  <autoFilter ref="G19:K23" xr:uid="{5317D78D-F95E-425D-92EB-6B5E44C1F543}"/>
  <tableColumns count="5">
    <tableColumn id="1" xr3:uid="{C8634700-9AFB-453E-8F5C-D7F057A8A3C5}" name="Column1" totalsRowLabel="Total" dataDxfId="22" totalsRowDxfId="21" dataCellStyle="Cell-Normal"/>
    <tableColumn id="2" xr3:uid="{66443FBD-41AF-4B89-A386-A2771CFDAF23}" name="Column2" dataDxfId="20" totalsRowDxfId="19" dataCellStyle="Cell-Normal"/>
    <tableColumn id="3" xr3:uid="{62F7A6A0-964E-405E-8E4E-8798822B93C0}" name="Column3" dataDxfId="18" totalsRowDxfId="17" dataCellStyle="Cell-Normal"/>
    <tableColumn id="4" xr3:uid="{7D710518-CDFE-4A24-9BCC-43FCFEDCD002}" name="Column4" dataDxfId="16" totalsRowDxfId="15" dataCellStyle="Cell-Normal"/>
    <tableColumn id="5" xr3:uid="{5F22A5D8-B584-4A9A-B2D7-6E4FDBBF9736}" name="Column5" totalsRowFunction="count" dataDxfId="14" totalsRowDxfId="13" dataCellStyle="Cell-Normal"/>
  </tableColumns>
  <tableStyleInfo name="Table_C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4F2D23F-57C4-4673-9D8B-519414BAAF13}" name="Table_623" displayName="Table_623" ref="A41:E46" totalsRowCount="1" headerRowCellStyle="Cell-Normal" dataCellStyle="Cell-Normal" totalsRowCellStyle="Cell-Normal">
  <autoFilter ref="A41:E45" xr:uid="{A90E9C0F-1C60-4408-BDF5-3470E1EE0CAB}"/>
  <tableColumns count="5">
    <tableColumn id="1" xr3:uid="{5D9D63FC-84D1-4110-8E82-70CD1E29152E}" name="Column1" totalsRowLabel="Total" dataCellStyle="Cell-Normal" totalsRowCellStyle="Cell-Normal"/>
    <tableColumn id="2" xr3:uid="{F5CCA466-4A96-4053-AA4F-8E0961C1B0FC}" name="Column2" dataCellStyle="Cell-Normal" totalsRowCellStyle="Cell-Normal"/>
    <tableColumn id="3" xr3:uid="{62A78D39-F16E-44ED-87F0-F2D45F5EA66B}" name="Column3" dataCellStyle="Cell-Normal" totalsRowCellStyle="Cell-Normal"/>
    <tableColumn id="4" xr3:uid="{78FFE805-902C-4A49-B269-94D4314CD1CE}" name="Column4" dataCellStyle="Cell-Normal" totalsRowCellStyle="Cell-Normal"/>
    <tableColumn id="5" xr3:uid="{5F6EAB53-053C-40DA-AB0C-BFE06AEE0442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E8B67D0-451E-4C93-873B-F2B4EF3F3300}" name="Table_B124" displayName="Table_B124" ref="G3:K8" totalsRowCount="1" headerRowCellStyle="Cell-Normal" dataCellStyle="Cell-Normal" totalsRowCellStyle="Cell-Normal">
  <autoFilter ref="G3:K7" xr:uid="{29D0505E-0553-4288-927F-A1E2F82A5189}"/>
  <tableColumns count="5">
    <tableColumn id="1" xr3:uid="{27A773C0-D503-451D-A6CD-58F6DF402BFC}" name="Column1" totalsRowLabel="Total" dataCellStyle="Cell-Normal" totalsRowCellStyle="Cell-Normal"/>
    <tableColumn id="2" xr3:uid="{9AA86263-9C95-4AFE-A74D-DE9D3C7C0E48}" name="Column2" dataCellStyle="Cell-Normal" totalsRowCellStyle="Cell-Normal"/>
    <tableColumn id="3" xr3:uid="{DA1166AB-C4AA-425B-AE1C-FFBB0F972717}" name="Column3" dataCellStyle="Cell-Normal" totalsRowCellStyle="Cell-Normal"/>
    <tableColumn id="4" xr3:uid="{5E958F29-BF65-44BE-B0B0-8048AE80616E}" name="Column4" dataCellStyle="Cell-Normal" totalsRowCellStyle="Cell-Normal"/>
    <tableColumn id="5" xr3:uid="{2673D25A-CC2F-4FDD-A9B6-E1673CAA1F55}" name="Column5" totalsRowFunction="count" dataCellStyle="Cell-Normal" totalsRowCellStyle="Cell-Normal"/>
  </tableColumns>
  <tableStyleInfo name="Table_A" showFirstColumn="1" showLastColumn="1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560E18-3CCE-4E20-8CB0-646A5785EE15}" name="Table_5218" displayName="Table_5218" ref="A25:E30" totalsRowCount="1" headerRowCellStyle="Cell-Normal" dataCellStyle="Cell-Normal" totalsRowCellStyle="Cell-Normal">
  <autoFilter ref="A25:E29" xr:uid="{D2EEB861-6035-44AE-B8A7-547D6DB20186}"/>
  <tableColumns count="5">
    <tableColumn id="1" xr3:uid="{41E796CA-2979-45C6-9601-F15CBAA0D231}" name="Column1" totalsRowLabel="Total" dataCellStyle="Cell-Normal" totalsRowCellStyle="Cell-Normal"/>
    <tableColumn id="2" xr3:uid="{742E6B39-4BF0-4CAE-A83A-F45F45BE0479}" name="Column2" dataCellStyle="Cell-Normal" totalsRowCellStyle="Cell-Normal"/>
    <tableColumn id="3" xr3:uid="{18339BC6-386D-4D9C-8934-F0086A4B667F}" name="Column3" dataCellStyle="Cell-Normal" totalsRowCellStyle="Cell-Normal"/>
    <tableColumn id="4" xr3:uid="{F4812695-3676-456E-AFE0-192F1C008A19}" name="Column4" dataCellStyle="Cell-Normal" totalsRowCellStyle="Cell-Normal"/>
    <tableColumn id="5" xr3:uid="{A66640BF-95CD-48D7-93E1-083E6976AF77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B0134B-D0CB-4AA2-81BE-B7B835C6D804}" name="Table_B2225" displayName="Table_B2225" ref="G11:K16" totalsRowCount="1" headerRowDxfId="12" dataDxfId="11" totalsRowDxfId="10" headerRowCellStyle="Cell-Normal" dataCellStyle="Cell-Normal" totalsRowCellStyle="Cell-Normal">
  <autoFilter ref="G11:K15" xr:uid="{7C81B741-382B-4DA7-B3A3-FB96FFC5786D}"/>
  <tableColumns count="5">
    <tableColumn id="1" xr3:uid="{4216A2C4-7E10-4E94-9A76-DD308DC43F09}" name="Column1" totalsRowLabel="Total" dataDxfId="9" totalsRowDxfId="8" dataCellStyle="Cell-Normal"/>
    <tableColumn id="2" xr3:uid="{2FA09678-A944-492F-A767-F139AB3D8069}" name="Column2" dataDxfId="7" totalsRowDxfId="6" dataCellStyle="Cell-Normal"/>
    <tableColumn id="3" xr3:uid="{9B2B2628-62C6-4F69-80A7-C3285A08B3E6}" name="Column3" dataDxfId="5" totalsRowDxfId="4" dataCellStyle="Cell-Normal"/>
    <tableColumn id="4" xr3:uid="{F3F6E32A-1DEC-4A21-AC38-720743515A07}" name="Column4" dataDxfId="3" totalsRowDxfId="2" dataCellStyle="Cell-Normal"/>
    <tableColumn id="5" xr3:uid="{95046322-D81C-4140-A628-F7531CEE93CC}" name="Column5" totalsRowFunction="count" dataDxfId="1" totalsRowDxfId="0" dataCellStyle="Cell-Normal"/>
  </tableColumns>
  <tableStyleInfo name="Table_B" showFirstColumn="1" showLastColumn="1" showRowStripes="1" showColumnStripes="1"/>
</table>
</file>

<file path=xl/theme/theme1.xml><?xml version="1.0" encoding="utf-8"?>
<a:theme xmlns:a="http://schemas.openxmlformats.org/drawingml/2006/main" name="ITR-xls">
  <a:themeElements>
    <a:clrScheme name="ITR_2022">
      <a:dk1>
        <a:sysClr val="windowText" lastClr="000000"/>
      </a:dk1>
      <a:lt1>
        <a:srgbClr val="FFFFFF"/>
      </a:lt1>
      <a:dk2>
        <a:srgbClr val="00A3E0"/>
      </a:dk2>
      <a:lt2>
        <a:srgbClr val="F6F2F8"/>
      </a:lt2>
      <a:accent1>
        <a:srgbClr val="E61F3D"/>
      </a:accent1>
      <a:accent2>
        <a:srgbClr val="F28855"/>
      </a:accent2>
      <a:accent3>
        <a:srgbClr val="9E88B8"/>
      </a:accent3>
      <a:accent4>
        <a:srgbClr val="FFF26E"/>
      </a:accent4>
      <a:accent5>
        <a:srgbClr val="E61F3D"/>
      </a:accent5>
      <a:accent6>
        <a:srgbClr val="92D050"/>
      </a:accent6>
      <a:hlink>
        <a:srgbClr val="007AA8"/>
      </a:hlink>
      <a:folHlink>
        <a:srgbClr val="00A3E0"/>
      </a:folHlink>
    </a:clrScheme>
    <a:fontScheme name="ITR">
      <a:majorFont>
        <a:latin typeface="Century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G28"/>
  <sheetViews>
    <sheetView tabSelected="1" zoomScale="85" zoomScaleNormal="85" zoomScalePageLayoutView="110" workbookViewId="0">
      <selection activeCell="D13" sqref="D13"/>
    </sheetView>
  </sheetViews>
  <sheetFormatPr defaultColWidth="9.140625" defaultRowHeight="14.4" x14ac:dyDescent="0.2"/>
  <cols>
    <col min="1" max="1" width="14" style="1" customWidth="1"/>
    <col min="2" max="2" width="15.7109375" style="1" customWidth="1"/>
    <col min="3" max="3" width="21.85546875" style="1" customWidth="1"/>
    <col min="4" max="4" width="65.28515625" style="1" customWidth="1"/>
    <col min="5" max="16384" width="9.140625" style="1"/>
  </cols>
  <sheetData>
    <row r="1" spans="1:7" ht="22.2" x14ac:dyDescent="0.2">
      <c r="A1" s="51" t="s">
        <v>12</v>
      </c>
      <c r="B1" s="51"/>
      <c r="C1" s="51"/>
      <c r="D1" s="51"/>
    </row>
    <row r="2" spans="1:7" s="2" customFormat="1" ht="23.4" x14ac:dyDescent="0.2">
      <c r="A2" s="52" t="s">
        <v>26</v>
      </c>
      <c r="B2" s="52"/>
      <c r="C2" s="52"/>
      <c r="D2" s="52"/>
    </row>
    <row r="3" spans="1:7" x14ac:dyDescent="0.2">
      <c r="A3" s="47"/>
      <c r="B3" s="47"/>
      <c r="C3" s="47"/>
      <c r="D3" s="47"/>
      <c r="G3" s="11"/>
    </row>
    <row r="4" spans="1:7" ht="15" x14ac:dyDescent="0.2">
      <c r="A4" s="46" t="s">
        <v>16</v>
      </c>
      <c r="B4" s="46"/>
      <c r="C4" s="46"/>
      <c r="D4" s="46"/>
    </row>
    <row r="5" spans="1:7" s="3" customFormat="1" ht="13.8" x14ac:dyDescent="0.2">
      <c r="A5" s="53" t="s">
        <v>43</v>
      </c>
      <c r="B5" s="53"/>
      <c r="C5" s="54" t="s">
        <v>175</v>
      </c>
      <c r="D5" s="55"/>
    </row>
    <row r="6" spans="1:7" s="3" customFormat="1" ht="13.8" x14ac:dyDescent="0.2">
      <c r="A6" s="40" t="s">
        <v>0</v>
      </c>
      <c r="B6" s="40"/>
      <c r="C6" s="41" t="s">
        <v>171</v>
      </c>
      <c r="D6" s="42"/>
      <c r="F6" s="20" t="s">
        <v>82</v>
      </c>
    </row>
    <row r="7" spans="1:7" s="3" customFormat="1" ht="13.8" x14ac:dyDescent="0.2">
      <c r="A7" s="40" t="s">
        <v>7</v>
      </c>
      <c r="B7" s="40"/>
      <c r="C7" s="41" t="s">
        <v>17</v>
      </c>
      <c r="D7" s="42"/>
    </row>
    <row r="8" spans="1:7" s="3" customFormat="1" ht="13.8" x14ac:dyDescent="0.2">
      <c r="A8" s="40" t="s">
        <v>6</v>
      </c>
      <c r="B8" s="40"/>
      <c r="C8" s="41" t="s">
        <v>19</v>
      </c>
      <c r="D8" s="42"/>
    </row>
    <row r="9" spans="1:7" s="3" customFormat="1" ht="13.8" x14ac:dyDescent="0.2">
      <c r="A9" s="40" t="s">
        <v>44</v>
      </c>
      <c r="B9" s="40"/>
      <c r="C9" s="48">
        <f>INDEX(Table1[#All],ROWS(Table1[#All]),2)</f>
        <v>44839</v>
      </c>
      <c r="D9" s="49"/>
      <c r="F9" s="20" t="s">
        <v>82</v>
      </c>
    </row>
    <row r="10" spans="1:7" s="3" customFormat="1" ht="13.8" x14ac:dyDescent="0.2">
      <c r="A10" s="50" t="s">
        <v>1</v>
      </c>
      <c r="B10" s="50"/>
      <c r="C10" s="43" t="s">
        <v>23</v>
      </c>
      <c r="D10" s="44"/>
    </row>
    <row r="11" spans="1:7" s="3" customFormat="1" ht="13.8" x14ac:dyDescent="0.2">
      <c r="A11" s="45"/>
      <c r="B11" s="45"/>
      <c r="C11" s="45"/>
      <c r="D11" s="45"/>
    </row>
    <row r="12" spans="1:7" ht="15" x14ac:dyDescent="0.2">
      <c r="A12" s="46" t="s">
        <v>22</v>
      </c>
      <c r="B12" s="46"/>
      <c r="C12" s="46"/>
      <c r="D12" s="46"/>
      <c r="F12" s="11"/>
    </row>
    <row r="13" spans="1:7" x14ac:dyDescent="0.2">
      <c r="A13" s="11" t="s">
        <v>5</v>
      </c>
      <c r="B13" s="11" t="s">
        <v>4</v>
      </c>
      <c r="C13" s="11" t="s">
        <v>174</v>
      </c>
      <c r="D13" s="11" t="s">
        <v>76</v>
      </c>
    </row>
    <row r="14" spans="1:7" ht="60" customHeight="1" x14ac:dyDescent="0.25">
      <c r="A14" s="17" t="s">
        <v>173</v>
      </c>
      <c r="B14" s="17" t="s">
        <v>81</v>
      </c>
      <c r="C14" s="17" t="s">
        <v>9</v>
      </c>
      <c r="D14" s="26" t="s">
        <v>161</v>
      </c>
    </row>
    <row r="15" spans="1:7" ht="60" x14ac:dyDescent="0.25">
      <c r="A15" s="17" t="s">
        <v>8</v>
      </c>
      <c r="B15" s="17" t="s">
        <v>20</v>
      </c>
      <c r="C15" s="17" t="s">
        <v>10</v>
      </c>
      <c r="D15" s="26" t="s">
        <v>161</v>
      </c>
    </row>
    <row r="16" spans="1:7" x14ac:dyDescent="0.2">
      <c r="A16" s="47"/>
      <c r="B16" s="47"/>
      <c r="C16" s="47"/>
      <c r="D16" s="47"/>
    </row>
    <row r="17" spans="1:4" ht="15" x14ac:dyDescent="0.2">
      <c r="A17" s="46" t="s">
        <v>79</v>
      </c>
      <c r="B17" s="46"/>
      <c r="C17" s="46"/>
      <c r="D17" s="46"/>
    </row>
    <row r="18" spans="1:4" x14ac:dyDescent="0.2">
      <c r="A18" s="11" t="s">
        <v>0</v>
      </c>
      <c r="B18" s="11" t="s">
        <v>2</v>
      </c>
      <c r="C18" s="11" t="s">
        <v>3</v>
      </c>
      <c r="D18" s="11" t="s">
        <v>11</v>
      </c>
    </row>
    <row r="19" spans="1:4" x14ac:dyDescent="0.2">
      <c r="A19" s="18" t="s">
        <v>13</v>
      </c>
      <c r="B19" s="12">
        <v>43243</v>
      </c>
      <c r="C19" s="17" t="s">
        <v>8</v>
      </c>
      <c r="D19" s="17" t="s">
        <v>27</v>
      </c>
    </row>
    <row r="20" spans="1:4" ht="41.4" x14ac:dyDescent="0.2">
      <c r="A20" s="18" t="s">
        <v>77</v>
      </c>
      <c r="B20" s="12">
        <v>43503</v>
      </c>
      <c r="C20" s="17" t="s">
        <v>8</v>
      </c>
      <c r="D20" s="17" t="s">
        <v>78</v>
      </c>
    </row>
    <row r="21" spans="1:4" x14ac:dyDescent="0.2">
      <c r="A21" s="21" t="s">
        <v>80</v>
      </c>
      <c r="B21" s="12">
        <v>43841</v>
      </c>
      <c r="C21" s="22" t="s">
        <v>8</v>
      </c>
      <c r="D21" s="22" t="s">
        <v>83</v>
      </c>
    </row>
    <row r="22" spans="1:4" ht="41.4" x14ac:dyDescent="0.2">
      <c r="A22" s="21" t="s">
        <v>158</v>
      </c>
      <c r="B22" s="12">
        <v>43875</v>
      </c>
      <c r="C22" s="22" t="s">
        <v>8</v>
      </c>
      <c r="D22" s="22" t="s">
        <v>178</v>
      </c>
    </row>
    <row r="23" spans="1:4" ht="27.6" x14ac:dyDescent="0.2">
      <c r="A23" s="21" t="s">
        <v>160</v>
      </c>
      <c r="B23" s="12">
        <v>43904</v>
      </c>
      <c r="C23" s="22" t="s">
        <v>8</v>
      </c>
      <c r="D23" s="22" t="s">
        <v>177</v>
      </c>
    </row>
    <row r="24" spans="1:4" ht="27.6" x14ac:dyDescent="0.2">
      <c r="A24" s="21" t="s">
        <v>165</v>
      </c>
      <c r="B24" s="12">
        <v>43979</v>
      </c>
      <c r="C24" s="22" t="s">
        <v>8</v>
      </c>
      <c r="D24" s="22" t="s">
        <v>166</v>
      </c>
    </row>
    <row r="25" spans="1:4" x14ac:dyDescent="0.2">
      <c r="A25" s="21" t="s">
        <v>168</v>
      </c>
      <c r="B25" s="33">
        <v>44102</v>
      </c>
      <c r="C25" s="22" t="s">
        <v>8</v>
      </c>
      <c r="D25" s="22" t="s">
        <v>169</v>
      </c>
    </row>
    <row r="26" spans="1:4" ht="69" x14ac:dyDescent="0.2">
      <c r="A26" s="18" t="s">
        <v>171</v>
      </c>
      <c r="B26" s="35">
        <v>44839</v>
      </c>
      <c r="C26" s="17" t="s">
        <v>173</v>
      </c>
      <c r="D26" s="17" t="s">
        <v>176</v>
      </c>
    </row>
    <row r="27" spans="1:4" x14ac:dyDescent="0.2">
      <c r="A27" s="1" t="s">
        <v>167</v>
      </c>
    </row>
    <row r="28" spans="1:4" x14ac:dyDescent="0.2">
      <c r="A28" s="1" t="s">
        <v>172</v>
      </c>
    </row>
  </sheetData>
  <mergeCells count="20">
    <mergeCell ref="A6:B6"/>
    <mergeCell ref="C6:D6"/>
    <mergeCell ref="A7:B7"/>
    <mergeCell ref="C7:D7"/>
    <mergeCell ref="A1:D1"/>
    <mergeCell ref="A2:D2"/>
    <mergeCell ref="A3:D3"/>
    <mergeCell ref="A4:D4"/>
    <mergeCell ref="A5:B5"/>
    <mergeCell ref="C5:D5"/>
    <mergeCell ref="A8:B8"/>
    <mergeCell ref="C8:D8"/>
    <mergeCell ref="C10:D10"/>
    <mergeCell ref="A11:D11"/>
    <mergeCell ref="A17:D17"/>
    <mergeCell ref="A12:D12"/>
    <mergeCell ref="A16:D16"/>
    <mergeCell ref="A9:B9"/>
    <mergeCell ref="C9:D9"/>
    <mergeCell ref="A10:B10"/>
  </mergeCells>
  <phoneticPr fontId="8" type="noConversion"/>
  <printOptions horizontalCentered="1"/>
  <pageMargins left="0.19685039370078741" right="0.19685039370078741" top="0.94488188976377963" bottom="0.74803149606299213" header="0.31496062992125984" footer="0.31496062992125984"/>
  <pageSetup paperSize="9" fitToHeight="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6"/>
  <sheetViews>
    <sheetView zoomScale="85" zoomScaleNormal="85" workbookViewId="0">
      <selection activeCell="N21" sqref="N21"/>
    </sheetView>
  </sheetViews>
  <sheetFormatPr defaultColWidth="9.140625" defaultRowHeight="14.4" x14ac:dyDescent="0.2"/>
  <cols>
    <col min="1" max="1" width="29.28515625" style="1" customWidth="1"/>
    <col min="2" max="2" width="47.85546875" style="1" customWidth="1"/>
    <col min="3" max="3" width="21" style="1" bestFit="1" customWidth="1"/>
    <col min="4" max="16384" width="9.140625" style="1"/>
  </cols>
  <sheetData>
    <row r="1" spans="1:4" ht="15" x14ac:dyDescent="0.2">
      <c r="A1" s="6" t="s">
        <v>21</v>
      </c>
      <c r="B1" s="6" t="s">
        <v>14</v>
      </c>
      <c r="C1" s="6" t="s">
        <v>15</v>
      </c>
      <c r="D1" s="6" t="s">
        <v>50</v>
      </c>
    </row>
    <row r="2" spans="1:4" x14ac:dyDescent="0.2">
      <c r="A2" s="11" t="s">
        <v>46</v>
      </c>
      <c r="B2" s="30" t="s">
        <v>47</v>
      </c>
      <c r="C2" s="30"/>
      <c r="D2" s="30">
        <v>12</v>
      </c>
    </row>
    <row r="3" spans="1:4" x14ac:dyDescent="0.2">
      <c r="A3" s="11" t="s">
        <v>57</v>
      </c>
      <c r="B3" s="30" t="s">
        <v>48</v>
      </c>
      <c r="C3" s="30" t="s">
        <v>37</v>
      </c>
      <c r="D3" s="30">
        <v>12</v>
      </c>
    </row>
    <row r="4" spans="1:4" x14ac:dyDescent="0.2">
      <c r="A4" s="11" t="s">
        <v>45</v>
      </c>
      <c r="B4" s="30" t="s">
        <v>49</v>
      </c>
      <c r="C4" s="30" t="s">
        <v>37</v>
      </c>
      <c r="D4" s="30">
        <v>22</v>
      </c>
    </row>
    <row r="5" spans="1:4" s="27" customFormat="1" x14ac:dyDescent="0.2">
      <c r="A5" s="39" t="s">
        <v>156</v>
      </c>
      <c r="B5" s="37" t="s">
        <v>56</v>
      </c>
      <c r="C5" s="30" t="s">
        <v>37</v>
      </c>
      <c r="D5" s="30">
        <v>2</v>
      </c>
    </row>
    <row r="6" spans="1:4" s="27" customFormat="1" x14ac:dyDescent="0.2">
      <c r="A6" s="39" t="s">
        <v>58</v>
      </c>
      <c r="B6" s="37" t="s">
        <v>59</v>
      </c>
      <c r="C6" s="38"/>
      <c r="D6" s="30">
        <v>1</v>
      </c>
    </row>
  </sheetData>
  <phoneticPr fontId="8" type="noConversion"/>
  <conditionalFormatting sqref="B2:B6">
    <cfRule type="cellIs" dxfId="33" priority="19" stopIfTrue="1" operator="equal">
      <formula>"Policy"</formula>
    </cfRule>
    <cfRule type="cellIs" dxfId="32" priority="20" stopIfTrue="1" operator="equal">
      <formula>"Procedure"</formula>
    </cfRule>
    <cfRule type="cellIs" dxfId="31" priority="21" stopIfTrue="1" operator="equal">
      <formula>"Standard"</formula>
    </cfRule>
  </conditionalFormatting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E35"/>
  <sheetViews>
    <sheetView zoomScale="70" zoomScaleNormal="70" zoomScalePageLayoutView="140" workbookViewId="0">
      <selection activeCell="H3" sqref="H3"/>
    </sheetView>
  </sheetViews>
  <sheetFormatPr defaultColWidth="9.140625" defaultRowHeight="14.4" x14ac:dyDescent="0.2"/>
  <cols>
    <col min="1" max="1" width="15.140625" style="1" customWidth="1"/>
    <col min="2" max="2" width="90.42578125" style="1" customWidth="1"/>
    <col min="3" max="3" width="3.7109375" style="1" customWidth="1"/>
    <col min="4" max="4" width="12.85546875" style="5" customWidth="1"/>
    <col min="5" max="5" width="30.7109375" style="5" customWidth="1"/>
    <col min="6" max="16384" width="9.140625" style="1"/>
  </cols>
  <sheetData>
    <row r="1" spans="1:5" ht="22.2" x14ac:dyDescent="0.2">
      <c r="A1" s="56" t="s">
        <v>55</v>
      </c>
      <c r="B1" s="57"/>
      <c r="C1" s="17"/>
      <c r="D1" s="5" t="s">
        <v>84</v>
      </c>
      <c r="E1" s="5" t="s">
        <v>85</v>
      </c>
    </row>
    <row r="2" spans="1:5" ht="41.4" x14ac:dyDescent="0.2">
      <c r="A2" s="11">
        <v>1</v>
      </c>
      <c r="B2" s="13" t="s">
        <v>60</v>
      </c>
      <c r="D2" s="5" t="s">
        <v>86</v>
      </c>
      <c r="E2" s="5" t="s">
        <v>87</v>
      </c>
    </row>
    <row r="3" spans="1:5" ht="27.6" x14ac:dyDescent="0.2">
      <c r="A3" s="11">
        <v>2</v>
      </c>
      <c r="B3" s="13" t="s">
        <v>62</v>
      </c>
      <c r="D3" s="5" t="s">
        <v>88</v>
      </c>
      <c r="E3" s="5" t="s">
        <v>89</v>
      </c>
    </row>
    <row r="4" spans="1:5" x14ac:dyDescent="0.2">
      <c r="A4" s="11">
        <v>3</v>
      </c>
      <c r="B4" s="13" t="s">
        <v>63</v>
      </c>
      <c r="D4" s="5" t="s">
        <v>148</v>
      </c>
      <c r="E4" s="5" t="s">
        <v>149</v>
      </c>
    </row>
    <row r="5" spans="1:5" ht="27.6" x14ac:dyDescent="0.2">
      <c r="A5" s="11">
        <v>4</v>
      </c>
      <c r="B5" s="13" t="s">
        <v>61</v>
      </c>
      <c r="D5" s="5" t="s">
        <v>90</v>
      </c>
      <c r="E5" s="5" t="s">
        <v>91</v>
      </c>
    </row>
    <row r="6" spans="1:5" x14ac:dyDescent="0.2">
      <c r="A6" s="11">
        <v>5</v>
      </c>
      <c r="B6" s="13" t="s">
        <v>64</v>
      </c>
      <c r="D6" s="5" t="s">
        <v>153</v>
      </c>
      <c r="E6" s="5" t="s">
        <v>92</v>
      </c>
    </row>
    <row r="7" spans="1:5" x14ac:dyDescent="0.2">
      <c r="A7" s="11">
        <v>6</v>
      </c>
      <c r="B7" s="13" t="s">
        <v>65</v>
      </c>
      <c r="D7" s="5" t="s">
        <v>93</v>
      </c>
      <c r="E7" s="5" t="s">
        <v>94</v>
      </c>
    </row>
    <row r="8" spans="1:5" ht="27.6" x14ac:dyDescent="0.2">
      <c r="A8" s="11">
        <v>7</v>
      </c>
      <c r="B8" s="13" t="s">
        <v>66</v>
      </c>
      <c r="D8" s="5" t="s">
        <v>95</v>
      </c>
      <c r="E8" s="5" t="s">
        <v>96</v>
      </c>
    </row>
    <row r="9" spans="1:5" ht="41.4" x14ac:dyDescent="0.2">
      <c r="A9" s="36">
        <v>8</v>
      </c>
      <c r="B9" s="28" t="s">
        <v>170</v>
      </c>
      <c r="D9" s="5" t="s">
        <v>97</v>
      </c>
      <c r="E9" s="5" t="s">
        <v>98</v>
      </c>
    </row>
    <row r="10" spans="1:5" x14ac:dyDescent="0.2">
      <c r="B10" s="5"/>
      <c r="D10" s="5" t="s">
        <v>143</v>
      </c>
      <c r="E10" s="5" t="s">
        <v>144</v>
      </c>
    </row>
    <row r="11" spans="1:5" ht="41.4" x14ac:dyDescent="0.2">
      <c r="A11" s="23" t="s">
        <v>51</v>
      </c>
      <c r="B11" s="21" t="s">
        <v>154</v>
      </c>
      <c r="D11" s="5" t="s">
        <v>99</v>
      </c>
      <c r="E11" s="5" t="s">
        <v>100</v>
      </c>
    </row>
    <row r="12" spans="1:5" ht="84" x14ac:dyDescent="0.2">
      <c r="A12" s="25" t="s">
        <v>155</v>
      </c>
      <c r="B12" s="34" t="s">
        <v>159</v>
      </c>
      <c r="D12" s="5" t="s">
        <v>101</v>
      </c>
      <c r="E12" s="5" t="s">
        <v>102</v>
      </c>
    </row>
    <row r="13" spans="1:5" x14ac:dyDescent="0.2">
      <c r="A13" s="11" t="s">
        <v>52</v>
      </c>
      <c r="B13" s="24" t="e" cm="1">
        <f t="array" aca="1" ref="B13" ca="1">IsFilled(B13)</f>
        <v>#NAME?</v>
      </c>
      <c r="D13" s="5" t="s">
        <v>103</v>
      </c>
      <c r="E13" s="5" t="s">
        <v>104</v>
      </c>
    </row>
    <row r="14" spans="1:5" x14ac:dyDescent="0.2">
      <c r="A14" s="11" t="s">
        <v>53</v>
      </c>
      <c r="B14" s="29" t="e" cm="1">
        <f t="array" aca="1" ref="B14" ca="1">IsFilled(B14)</f>
        <v>#NAME?</v>
      </c>
      <c r="D14" s="5" t="s">
        <v>105</v>
      </c>
      <c r="E14" s="5" t="s">
        <v>106</v>
      </c>
    </row>
    <row r="15" spans="1:5" x14ac:dyDescent="0.2">
      <c r="A15" s="11"/>
      <c r="B15" s="4" t="s">
        <v>54</v>
      </c>
      <c r="D15" s="5" t="s">
        <v>107</v>
      </c>
      <c r="E15" s="5" t="s">
        <v>108</v>
      </c>
    </row>
    <row r="16" spans="1:5" x14ac:dyDescent="0.2">
      <c r="D16" s="5" t="s">
        <v>109</v>
      </c>
      <c r="E16" s="5" t="s">
        <v>110</v>
      </c>
    </row>
    <row r="17" spans="4:5" x14ac:dyDescent="0.2">
      <c r="D17" s="5" t="s">
        <v>111</v>
      </c>
      <c r="E17" s="5" t="s">
        <v>112</v>
      </c>
    </row>
    <row r="18" spans="4:5" x14ac:dyDescent="0.2">
      <c r="D18" s="5" t="s">
        <v>113</v>
      </c>
      <c r="E18" s="5" t="s">
        <v>147</v>
      </c>
    </row>
    <row r="19" spans="4:5" x14ac:dyDescent="0.2">
      <c r="D19" s="5" t="s">
        <v>114</v>
      </c>
      <c r="E19" s="5" t="s">
        <v>115</v>
      </c>
    </row>
    <row r="20" spans="4:5" x14ac:dyDescent="0.2">
      <c r="D20" s="5" t="s">
        <v>150</v>
      </c>
      <c r="E20" s="5" t="s">
        <v>122</v>
      </c>
    </row>
    <row r="21" spans="4:5" x14ac:dyDescent="0.2">
      <c r="D21" s="5" t="s">
        <v>116</v>
      </c>
      <c r="E21" s="5" t="s">
        <v>117</v>
      </c>
    </row>
    <row r="22" spans="4:5" x14ac:dyDescent="0.2">
      <c r="D22" s="5" t="s">
        <v>118</v>
      </c>
      <c r="E22" s="5" t="s">
        <v>119</v>
      </c>
    </row>
    <row r="23" spans="4:5" x14ac:dyDescent="0.2">
      <c r="D23" s="5" t="s">
        <v>120</v>
      </c>
      <c r="E23" s="5" t="s">
        <v>121</v>
      </c>
    </row>
    <row r="24" spans="4:5" x14ac:dyDescent="0.2">
      <c r="D24" s="5" t="s">
        <v>145</v>
      </c>
      <c r="E24" s="5" t="s">
        <v>146</v>
      </c>
    </row>
    <row r="25" spans="4:5" x14ac:dyDescent="0.2">
      <c r="D25" s="5" t="s">
        <v>123</v>
      </c>
      <c r="E25" s="5" t="s">
        <v>124</v>
      </c>
    </row>
    <row r="26" spans="4:5" x14ac:dyDescent="0.2">
      <c r="D26" s="5" t="s">
        <v>127</v>
      </c>
      <c r="E26" s="5" t="s">
        <v>128</v>
      </c>
    </row>
    <row r="27" spans="4:5" x14ac:dyDescent="0.2">
      <c r="D27" s="5" t="s">
        <v>125</v>
      </c>
      <c r="E27" s="5" t="s">
        <v>126</v>
      </c>
    </row>
    <row r="28" spans="4:5" ht="27.6" x14ac:dyDescent="0.2">
      <c r="D28" s="5" t="s">
        <v>129</v>
      </c>
      <c r="E28" s="5" t="s">
        <v>130</v>
      </c>
    </row>
    <row r="29" spans="4:5" x14ac:dyDescent="0.2">
      <c r="D29" s="5" t="s">
        <v>131</v>
      </c>
      <c r="E29" s="5" t="s">
        <v>132</v>
      </c>
    </row>
    <row r="30" spans="4:5" ht="27.6" x14ac:dyDescent="0.2">
      <c r="D30" s="5" t="s">
        <v>133</v>
      </c>
      <c r="E30" s="5" t="s">
        <v>134</v>
      </c>
    </row>
    <row r="31" spans="4:5" x14ac:dyDescent="0.2">
      <c r="D31" s="5" t="s">
        <v>135</v>
      </c>
      <c r="E31" s="5" t="s">
        <v>136</v>
      </c>
    </row>
    <row r="32" spans="4:5" x14ac:dyDescent="0.2">
      <c r="D32" s="5" t="s">
        <v>137</v>
      </c>
      <c r="E32" s="5" t="s">
        <v>138</v>
      </c>
    </row>
    <row r="33" spans="4:5" x14ac:dyDescent="0.2">
      <c r="D33" s="5" t="s">
        <v>151</v>
      </c>
      <c r="E33" s="5" t="s">
        <v>139</v>
      </c>
    </row>
    <row r="34" spans="4:5" x14ac:dyDescent="0.2">
      <c r="D34" s="5" t="s">
        <v>152</v>
      </c>
      <c r="E34" s="5" t="s">
        <v>140</v>
      </c>
    </row>
    <row r="35" spans="4:5" x14ac:dyDescent="0.2">
      <c r="D35" s="5" t="s">
        <v>141</v>
      </c>
      <c r="E35" s="5" t="s">
        <v>142</v>
      </c>
    </row>
  </sheetData>
  <mergeCells count="1">
    <mergeCell ref="A1:B1"/>
  </mergeCells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M46"/>
  <sheetViews>
    <sheetView zoomScale="85" zoomScaleNormal="85" zoomScalePageLayoutView="145" workbookViewId="0">
      <selection activeCell="Q16" sqref="Q16"/>
    </sheetView>
  </sheetViews>
  <sheetFormatPr defaultColWidth="9.140625" defaultRowHeight="13.8" x14ac:dyDescent="0.2"/>
  <cols>
    <col min="1" max="1" width="15" style="15" customWidth="1"/>
    <col min="2" max="2" width="12" style="16" customWidth="1"/>
    <col min="3" max="3" width="12" style="5" customWidth="1"/>
    <col min="4" max="5" width="12" style="14" customWidth="1"/>
    <col min="6" max="6" width="5.28515625" style="14" customWidth="1"/>
    <col min="7" max="7" width="12.7109375" style="14" customWidth="1"/>
    <col min="8" max="16384" width="9.140625" style="14"/>
  </cols>
  <sheetData>
    <row r="1" spans="1:11" x14ac:dyDescent="0.2">
      <c r="A1" s="5"/>
      <c r="B1" s="5"/>
      <c r="D1" s="5"/>
      <c r="E1" s="5"/>
    </row>
    <row r="2" spans="1:11" ht="15.75" customHeight="1" x14ac:dyDescent="0.2">
      <c r="A2" s="62" t="s">
        <v>71</v>
      </c>
      <c r="B2" s="62"/>
      <c r="C2" s="62"/>
      <c r="D2" s="62"/>
      <c r="E2" s="62"/>
      <c r="G2" s="60" t="s">
        <v>162</v>
      </c>
      <c r="H2" s="60"/>
      <c r="I2" s="60"/>
      <c r="J2" s="60"/>
      <c r="K2" s="60"/>
    </row>
    <row r="3" spans="1:11" ht="27.6" x14ac:dyDescent="0.2">
      <c r="A3" s="13" t="s">
        <v>24</v>
      </c>
      <c r="B3" s="13" t="s">
        <v>67</v>
      </c>
      <c r="C3" s="13" t="s">
        <v>68</v>
      </c>
      <c r="D3" s="13" t="s">
        <v>69</v>
      </c>
      <c r="E3" s="13" t="s">
        <v>70</v>
      </c>
      <c r="G3" s="5" t="s">
        <v>24</v>
      </c>
      <c r="H3" s="5" t="s">
        <v>67</v>
      </c>
      <c r="I3" s="5" t="s">
        <v>68</v>
      </c>
      <c r="J3" s="5" t="s">
        <v>69</v>
      </c>
      <c r="K3" s="5" t="s">
        <v>70</v>
      </c>
    </row>
    <row r="4" spans="1:11" x14ac:dyDescent="0.2">
      <c r="A4" s="5"/>
      <c r="B4" s="5"/>
      <c r="D4" s="5"/>
      <c r="E4" s="5"/>
      <c r="G4" s="5"/>
      <c r="H4" s="5"/>
      <c r="I4" s="5"/>
      <c r="J4" s="5"/>
      <c r="K4" s="5"/>
    </row>
    <row r="5" spans="1:11" x14ac:dyDescent="0.2">
      <c r="A5" s="5"/>
      <c r="B5" s="5"/>
      <c r="D5" s="5"/>
      <c r="E5" s="5"/>
      <c r="G5" s="5"/>
      <c r="H5" s="5"/>
      <c r="I5" s="5"/>
      <c r="J5" s="5"/>
      <c r="K5" s="5"/>
    </row>
    <row r="6" spans="1:11" x14ac:dyDescent="0.2">
      <c r="A6" s="5"/>
      <c r="B6" s="5"/>
      <c r="D6" s="5"/>
      <c r="E6" s="5"/>
      <c r="G6" s="5"/>
      <c r="H6" s="5"/>
      <c r="I6" s="5"/>
      <c r="J6" s="5"/>
      <c r="K6" s="5"/>
    </row>
    <row r="7" spans="1:11" x14ac:dyDescent="0.2">
      <c r="A7" s="5"/>
      <c r="B7" s="5"/>
      <c r="D7" s="5"/>
      <c r="E7" s="5"/>
      <c r="G7" s="5"/>
      <c r="H7" s="5"/>
      <c r="I7" s="5"/>
      <c r="J7" s="5"/>
      <c r="K7" s="5"/>
    </row>
    <row r="8" spans="1:11" x14ac:dyDescent="0.2">
      <c r="A8" s="5" t="s">
        <v>18</v>
      </c>
      <c r="B8" s="5"/>
      <c r="D8" s="5"/>
      <c r="E8" s="5">
        <f>SUBTOTAL(103,Table_117[Column5])</f>
        <v>0</v>
      </c>
      <c r="G8" s="5" t="s">
        <v>18</v>
      </c>
      <c r="H8" s="5"/>
      <c r="I8" s="5"/>
      <c r="J8" s="5"/>
      <c r="K8" s="5">
        <f>SUBTOTAL(103,Table_B124[Column5])</f>
        <v>0</v>
      </c>
    </row>
    <row r="9" spans="1:11" x14ac:dyDescent="0.2">
      <c r="A9" s="5"/>
      <c r="B9" s="5"/>
      <c r="D9" s="5"/>
      <c r="E9" s="5"/>
      <c r="G9" s="5"/>
      <c r="H9" s="5"/>
      <c r="I9" s="5"/>
      <c r="J9" s="5"/>
      <c r="K9" s="5"/>
    </row>
    <row r="10" spans="1:11" ht="15.75" customHeight="1" x14ac:dyDescent="0.2">
      <c r="A10" s="63" t="s">
        <v>72</v>
      </c>
      <c r="B10" s="63"/>
      <c r="C10" s="63"/>
      <c r="D10" s="63"/>
      <c r="E10" s="63"/>
      <c r="G10" s="52" t="s">
        <v>164</v>
      </c>
      <c r="H10" s="52"/>
      <c r="I10" s="52"/>
      <c r="J10" s="52"/>
      <c r="K10" s="52"/>
    </row>
    <row r="11" spans="1:11" ht="27.6" x14ac:dyDescent="0.2">
      <c r="A11" s="5" t="s">
        <v>24</v>
      </c>
      <c r="B11" s="5" t="s">
        <v>67</v>
      </c>
      <c r="C11" s="5" t="s">
        <v>68</v>
      </c>
      <c r="D11" s="5" t="s">
        <v>69</v>
      </c>
      <c r="E11" s="5" t="s">
        <v>70</v>
      </c>
      <c r="G11" s="30" t="s">
        <v>24</v>
      </c>
      <c r="H11" s="30" t="s">
        <v>67</v>
      </c>
      <c r="I11" s="30" t="s">
        <v>68</v>
      </c>
      <c r="J11" s="30" t="s">
        <v>69</v>
      </c>
      <c r="K11" s="30" t="s">
        <v>70</v>
      </c>
    </row>
    <row r="12" spans="1:11" x14ac:dyDescent="0.2">
      <c r="A12" s="5"/>
      <c r="B12" s="5"/>
      <c r="D12" s="5"/>
      <c r="E12" s="5"/>
      <c r="G12" s="30" t="s">
        <v>24</v>
      </c>
      <c r="H12" s="30"/>
      <c r="I12" s="30"/>
      <c r="J12" s="32"/>
      <c r="K12" s="30"/>
    </row>
    <row r="13" spans="1:11" x14ac:dyDescent="0.2">
      <c r="A13" s="5"/>
      <c r="B13" s="5"/>
      <c r="D13" s="5"/>
      <c r="E13" s="5"/>
      <c r="G13" s="30"/>
      <c r="H13" s="30"/>
      <c r="I13" s="30"/>
      <c r="J13" s="30"/>
      <c r="K13" s="30"/>
    </row>
    <row r="14" spans="1:11" x14ac:dyDescent="0.2">
      <c r="A14" s="5"/>
      <c r="B14" s="5"/>
      <c r="D14" s="5"/>
      <c r="E14" s="5"/>
      <c r="G14" s="30"/>
      <c r="H14" s="30"/>
      <c r="I14" s="30"/>
      <c r="J14" s="30"/>
      <c r="K14" s="30"/>
    </row>
    <row r="15" spans="1:11" x14ac:dyDescent="0.2">
      <c r="A15" s="5" t="s">
        <v>18</v>
      </c>
      <c r="B15" s="5"/>
      <c r="D15" s="5"/>
      <c r="E15" s="5">
        <f>SUBTOTAL(103,Table_218[Column5])</f>
        <v>0</v>
      </c>
      <c r="G15" s="30"/>
      <c r="H15" s="30"/>
      <c r="I15" s="30"/>
      <c r="J15" s="30"/>
      <c r="K15" s="30"/>
    </row>
    <row r="16" spans="1:11" x14ac:dyDescent="0.2">
      <c r="A16" s="5"/>
      <c r="B16" s="5"/>
      <c r="D16" s="5"/>
      <c r="E16" s="5"/>
      <c r="G16" s="31" t="s">
        <v>18</v>
      </c>
      <c r="H16" s="31"/>
      <c r="I16" s="31"/>
      <c r="J16" s="31"/>
      <c r="K16" s="31">
        <f>SUBTOTAL(103,Table_B2225[Column5])</f>
        <v>0</v>
      </c>
    </row>
    <row r="17" spans="1:13" ht="15" customHeight="1" x14ac:dyDescent="0.2">
      <c r="A17" s="64" t="s">
        <v>73</v>
      </c>
      <c r="B17" s="64"/>
      <c r="C17" s="64"/>
      <c r="D17" s="64"/>
      <c r="E17" s="64"/>
      <c r="G17" s="5"/>
      <c r="H17" s="5"/>
      <c r="I17" s="5"/>
      <c r="J17" s="5"/>
      <c r="K17" s="5"/>
    </row>
    <row r="18" spans="1:13" ht="20.399999999999999" x14ac:dyDescent="0.2">
      <c r="A18" s="5" t="s">
        <v>24</v>
      </c>
      <c r="B18" s="5" t="s">
        <v>67</v>
      </c>
      <c r="C18" s="5" t="s">
        <v>68</v>
      </c>
      <c r="D18" s="19" t="s">
        <v>69</v>
      </c>
      <c r="E18" s="5" t="s">
        <v>70</v>
      </c>
      <c r="G18" s="52" t="s">
        <v>163</v>
      </c>
      <c r="H18" s="52"/>
      <c r="I18" s="52"/>
      <c r="J18" s="52"/>
      <c r="K18" s="52"/>
    </row>
    <row r="19" spans="1:13" ht="27.6" x14ac:dyDescent="0.2">
      <c r="A19" s="5"/>
      <c r="B19" s="5"/>
      <c r="D19" s="5"/>
      <c r="E19" s="5"/>
      <c r="G19" s="30" t="s">
        <v>24</v>
      </c>
      <c r="H19" s="30" t="s">
        <v>67</v>
      </c>
      <c r="I19" s="30" t="s">
        <v>68</v>
      </c>
      <c r="J19" s="30" t="s">
        <v>69</v>
      </c>
      <c r="K19" s="30" t="s">
        <v>70</v>
      </c>
    </row>
    <row r="20" spans="1:13" x14ac:dyDescent="0.2">
      <c r="A20" s="5"/>
      <c r="B20" s="5"/>
      <c r="D20" s="5"/>
      <c r="E20" s="5"/>
      <c r="G20" s="30" t="s">
        <v>24</v>
      </c>
      <c r="H20" s="30"/>
      <c r="I20" s="30"/>
      <c r="J20" s="32"/>
      <c r="K20" s="30"/>
    </row>
    <row r="21" spans="1:13" x14ac:dyDescent="0.2">
      <c r="A21" s="5"/>
      <c r="B21" s="5"/>
      <c r="D21" s="5"/>
      <c r="E21" s="5"/>
      <c r="G21" s="30"/>
      <c r="H21" s="30"/>
      <c r="I21" s="30"/>
      <c r="J21" s="30"/>
      <c r="K21" s="30"/>
    </row>
    <row r="22" spans="1:13" x14ac:dyDescent="0.2">
      <c r="A22" s="5" t="s">
        <v>18</v>
      </c>
      <c r="B22" s="5"/>
      <c r="D22" s="5"/>
      <c r="E22" s="5">
        <f>SUBTOTAL(103,Table_319[Column5])</f>
        <v>0</v>
      </c>
      <c r="G22" s="30"/>
      <c r="H22" s="30"/>
      <c r="I22" s="30"/>
      <c r="J22" s="30"/>
      <c r="K22" s="30"/>
    </row>
    <row r="23" spans="1:13" x14ac:dyDescent="0.2">
      <c r="A23" s="5"/>
      <c r="B23" s="5"/>
      <c r="D23" s="5"/>
      <c r="E23" s="5"/>
      <c r="G23" s="30"/>
      <c r="H23" s="30"/>
      <c r="I23" s="30"/>
      <c r="J23" s="30"/>
      <c r="K23" s="30"/>
    </row>
    <row r="24" spans="1:13" ht="15" x14ac:dyDescent="0.2">
      <c r="A24" s="61" t="s">
        <v>157</v>
      </c>
      <c r="B24" s="61"/>
      <c r="C24" s="61"/>
      <c r="D24" s="61"/>
      <c r="E24" s="61"/>
      <c r="G24" s="31" t="s">
        <v>18</v>
      </c>
      <c r="H24" s="31"/>
      <c r="I24" s="31"/>
      <c r="J24" s="31"/>
      <c r="K24" s="31">
        <f>SUBTOTAL(103,Table_B222[Column5])</f>
        <v>0</v>
      </c>
    </row>
    <row r="25" spans="1:13" x14ac:dyDescent="0.2">
      <c r="A25" s="5" t="s">
        <v>24</v>
      </c>
      <c r="B25" s="5" t="s">
        <v>67</v>
      </c>
      <c r="C25" s="5" t="s">
        <v>68</v>
      </c>
      <c r="D25" s="5" t="s">
        <v>69</v>
      </c>
      <c r="E25" s="5" t="s">
        <v>70</v>
      </c>
    </row>
    <row r="26" spans="1:13" x14ac:dyDescent="0.2">
      <c r="A26" s="5"/>
      <c r="B26" s="5"/>
      <c r="D26" s="5"/>
      <c r="E26" s="5"/>
    </row>
    <row r="27" spans="1:13" x14ac:dyDescent="0.2">
      <c r="A27" s="5"/>
      <c r="B27" s="5"/>
      <c r="D27" s="5"/>
      <c r="E27" s="5"/>
    </row>
    <row r="28" spans="1:13" x14ac:dyDescent="0.2">
      <c r="A28" s="5"/>
      <c r="B28" s="5"/>
      <c r="D28" s="5"/>
      <c r="E28" s="5"/>
      <c r="G28"/>
      <c r="H28"/>
      <c r="I28"/>
      <c r="J28"/>
      <c r="K28"/>
      <c r="L28"/>
      <c r="M28"/>
    </row>
    <row r="29" spans="1:13" x14ac:dyDescent="0.2">
      <c r="A29" s="5"/>
      <c r="B29" s="5"/>
      <c r="D29" s="5"/>
      <c r="E29" s="5"/>
      <c r="G29"/>
      <c r="H29"/>
      <c r="I29"/>
      <c r="J29"/>
      <c r="K29"/>
      <c r="L29"/>
      <c r="M29"/>
    </row>
    <row r="30" spans="1:13" x14ac:dyDescent="0.2">
      <c r="A30" s="5" t="s">
        <v>18</v>
      </c>
      <c r="B30" s="5"/>
      <c r="D30" s="5"/>
      <c r="E30" s="5">
        <f>SUBTOTAL(103,Table_5218[Column5])</f>
        <v>0</v>
      </c>
      <c r="G30"/>
      <c r="H30"/>
      <c r="I30"/>
      <c r="J30"/>
      <c r="K30"/>
      <c r="L30"/>
      <c r="M30"/>
    </row>
    <row r="31" spans="1:13" x14ac:dyDescent="0.2">
      <c r="A31" s="28"/>
      <c r="B31" s="28"/>
      <c r="C31" s="28"/>
      <c r="D31" s="28"/>
      <c r="E31" s="28"/>
      <c r="G31"/>
      <c r="H31"/>
      <c r="I31"/>
      <c r="J31"/>
      <c r="K31"/>
      <c r="L31"/>
      <c r="M31"/>
    </row>
    <row r="32" spans="1:13" ht="12.75" customHeight="1" x14ac:dyDescent="0.2">
      <c r="A32" s="58" t="s">
        <v>74</v>
      </c>
      <c r="B32" s="58"/>
      <c r="C32" s="58"/>
      <c r="D32" s="58"/>
      <c r="E32" s="58"/>
      <c r="G32"/>
      <c r="H32"/>
      <c r="I32"/>
      <c r="J32"/>
      <c r="K32"/>
      <c r="L32"/>
      <c r="M32"/>
    </row>
    <row r="33" spans="1:13" x14ac:dyDescent="0.2">
      <c r="A33" s="5" t="s">
        <v>24</v>
      </c>
      <c r="B33" s="5" t="s">
        <v>67</v>
      </c>
      <c r="C33" s="5" t="s">
        <v>68</v>
      </c>
      <c r="D33" s="5" t="s">
        <v>69</v>
      </c>
      <c r="E33" s="5" t="s">
        <v>70</v>
      </c>
      <c r="G33"/>
      <c r="H33"/>
      <c r="I33"/>
      <c r="J33"/>
      <c r="K33"/>
      <c r="L33"/>
      <c r="M33"/>
    </row>
    <row r="34" spans="1:13" x14ac:dyDescent="0.2">
      <c r="A34" s="5"/>
      <c r="B34" s="5"/>
      <c r="D34" s="5"/>
      <c r="E34" s="5"/>
      <c r="G34"/>
      <c r="H34"/>
      <c r="I34"/>
      <c r="J34"/>
      <c r="K34"/>
      <c r="L34"/>
      <c r="M34"/>
    </row>
    <row r="35" spans="1:13" x14ac:dyDescent="0.2">
      <c r="A35" s="5"/>
      <c r="B35" s="5"/>
      <c r="D35" s="5"/>
      <c r="E35" s="5"/>
      <c r="G35"/>
      <c r="H35"/>
      <c r="I35"/>
      <c r="J35"/>
      <c r="K35"/>
      <c r="L35"/>
      <c r="M35"/>
    </row>
    <row r="36" spans="1:13" x14ac:dyDescent="0.2">
      <c r="A36" s="5"/>
      <c r="B36" s="5"/>
      <c r="D36" s="5"/>
      <c r="E36" s="5"/>
      <c r="G36"/>
      <c r="H36"/>
      <c r="I36"/>
      <c r="J36"/>
      <c r="K36"/>
      <c r="L36"/>
      <c r="M36"/>
    </row>
    <row r="37" spans="1:13" x14ac:dyDescent="0.2">
      <c r="A37" s="5"/>
      <c r="B37" s="5"/>
      <c r="D37" s="5"/>
      <c r="E37" s="5"/>
    </row>
    <row r="38" spans="1:13" x14ac:dyDescent="0.2">
      <c r="A38" s="5" t="s">
        <v>18</v>
      </c>
      <c r="B38" s="5"/>
      <c r="D38" s="5"/>
      <c r="E38" s="5">
        <f>SUBTOTAL(103,Table_521[Column5])</f>
        <v>0</v>
      </c>
    </row>
    <row r="39" spans="1:13" x14ac:dyDescent="0.2">
      <c r="A39" s="5"/>
      <c r="B39" s="5"/>
      <c r="D39" s="5"/>
      <c r="E39" s="5"/>
    </row>
    <row r="40" spans="1:13" ht="15.6" x14ac:dyDescent="0.2">
      <c r="A40" s="59" t="s">
        <v>75</v>
      </c>
      <c r="B40" s="59"/>
      <c r="C40" s="59"/>
      <c r="D40" s="59"/>
      <c r="E40" s="59"/>
    </row>
    <row r="41" spans="1:13" x14ac:dyDescent="0.2">
      <c r="A41" s="5" t="s">
        <v>24</v>
      </c>
      <c r="B41" s="5" t="s">
        <v>67</v>
      </c>
      <c r="C41" s="5" t="s">
        <v>68</v>
      </c>
      <c r="D41" s="5" t="s">
        <v>69</v>
      </c>
      <c r="E41" s="5" t="s">
        <v>70</v>
      </c>
    </row>
    <row r="42" spans="1:13" x14ac:dyDescent="0.2">
      <c r="A42" s="5"/>
      <c r="B42" s="5"/>
      <c r="D42" s="5"/>
      <c r="E42" s="5"/>
    </row>
    <row r="43" spans="1:13" x14ac:dyDescent="0.2">
      <c r="A43" s="5"/>
      <c r="B43" s="5"/>
      <c r="D43" s="5"/>
      <c r="E43" s="5"/>
    </row>
    <row r="44" spans="1:13" x14ac:dyDescent="0.2">
      <c r="A44" s="5"/>
      <c r="B44" s="5"/>
      <c r="D44" s="5"/>
      <c r="E44" s="5"/>
    </row>
    <row r="45" spans="1:13" x14ac:dyDescent="0.2">
      <c r="A45" s="5"/>
      <c r="B45" s="5"/>
      <c r="D45" s="5"/>
      <c r="E45" s="5"/>
    </row>
    <row r="46" spans="1:13" x14ac:dyDescent="0.2">
      <c r="A46" s="5" t="s">
        <v>18</v>
      </c>
      <c r="B46" s="5"/>
      <c r="D46" s="5"/>
      <c r="E46" s="5">
        <f>SUBTOTAL(103,Table_623[Column5])</f>
        <v>0</v>
      </c>
    </row>
  </sheetData>
  <mergeCells count="9">
    <mergeCell ref="A32:E32"/>
    <mergeCell ref="A40:E40"/>
    <mergeCell ref="G2:K2"/>
    <mergeCell ref="G18:K18"/>
    <mergeCell ref="A24:E24"/>
    <mergeCell ref="A2:E2"/>
    <mergeCell ref="A10:E10"/>
    <mergeCell ref="A17:E17"/>
    <mergeCell ref="G10:K10"/>
  </mergeCells>
  <pageMargins left="0.19685039370078741" right="0.19685039370078741" top="0.94488188976377963" bottom="0.74803149606299213" header="0.31496062992125984" footer="0.31496062992125984"/>
  <pageSetup fitToHeight="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E41"/>
  <sheetViews>
    <sheetView topLeftCell="A7" zoomScaleNormal="100" workbookViewId="0">
      <selection activeCell="F37" sqref="F37"/>
    </sheetView>
  </sheetViews>
  <sheetFormatPr defaultRowHeight="10.199999999999999" x14ac:dyDescent="0.2"/>
  <cols>
    <col min="1" max="1" width="47" customWidth="1"/>
    <col min="2" max="2" width="9.7109375" customWidth="1"/>
    <col min="3" max="3" width="16.42578125" customWidth="1"/>
    <col min="4" max="5" width="10.140625" customWidth="1"/>
    <col min="6" max="6" width="20.7109375" customWidth="1"/>
    <col min="7" max="7" width="14.28515625" bestFit="1" customWidth="1"/>
  </cols>
  <sheetData>
    <row r="3" spans="1:3" x14ac:dyDescent="0.2">
      <c r="A3" s="7" t="s">
        <v>38</v>
      </c>
      <c r="B3" t="s">
        <v>41</v>
      </c>
      <c r="C3" t="s">
        <v>42</v>
      </c>
    </row>
    <row r="4" spans="1:3" x14ac:dyDescent="0.2">
      <c r="A4" s="8" t="s">
        <v>35</v>
      </c>
      <c r="B4">
        <v>34</v>
      </c>
      <c r="C4">
        <v>2</v>
      </c>
    </row>
    <row r="5" spans="1:3" x14ac:dyDescent="0.2">
      <c r="A5" s="9" t="s">
        <v>29</v>
      </c>
      <c r="B5">
        <v>12</v>
      </c>
      <c r="C5">
        <v>1</v>
      </c>
    </row>
    <row r="6" spans="1:3" x14ac:dyDescent="0.2">
      <c r="A6" s="10" t="s">
        <v>37</v>
      </c>
      <c r="B6">
        <v>12</v>
      </c>
      <c r="C6">
        <v>1</v>
      </c>
    </row>
    <row r="7" spans="1:3" x14ac:dyDescent="0.2">
      <c r="A7" s="9" t="s">
        <v>30</v>
      </c>
      <c r="B7">
        <v>22</v>
      </c>
      <c r="C7">
        <v>1</v>
      </c>
    </row>
    <row r="8" spans="1:3" x14ac:dyDescent="0.2">
      <c r="A8" s="10" t="s">
        <v>37</v>
      </c>
      <c r="B8">
        <v>22</v>
      </c>
      <c r="C8">
        <v>1</v>
      </c>
    </row>
    <row r="9" spans="1:3" x14ac:dyDescent="0.2">
      <c r="A9" s="8" t="s">
        <v>36</v>
      </c>
      <c r="B9">
        <v>216</v>
      </c>
      <c r="C9">
        <v>1</v>
      </c>
    </row>
    <row r="10" spans="1:3" x14ac:dyDescent="0.2">
      <c r="A10" s="9" t="s">
        <v>31</v>
      </c>
      <c r="B10">
        <v>2</v>
      </c>
      <c r="C10">
        <v>1</v>
      </c>
    </row>
    <row r="11" spans="1:3" x14ac:dyDescent="0.2">
      <c r="A11" s="10" t="s">
        <v>37</v>
      </c>
      <c r="B11">
        <v>2</v>
      </c>
      <c r="C11">
        <v>1</v>
      </c>
    </row>
    <row r="12" spans="1:3" x14ac:dyDescent="0.2">
      <c r="A12" s="9" t="s">
        <v>32</v>
      </c>
      <c r="B12">
        <v>1</v>
      </c>
    </row>
    <row r="13" spans="1:3" x14ac:dyDescent="0.2">
      <c r="A13" s="10" t="s">
        <v>40</v>
      </c>
      <c r="B13">
        <v>1</v>
      </c>
    </row>
    <row r="14" spans="1:3" x14ac:dyDescent="0.2">
      <c r="A14" s="9" t="s">
        <v>33</v>
      </c>
      <c r="B14">
        <v>1</v>
      </c>
    </row>
    <row r="15" spans="1:3" x14ac:dyDescent="0.2">
      <c r="A15" s="10" t="s">
        <v>40</v>
      </c>
      <c r="B15">
        <v>1</v>
      </c>
    </row>
    <row r="16" spans="1:3" x14ac:dyDescent="0.2">
      <c r="A16" s="9" t="s">
        <v>34</v>
      </c>
      <c r="B16">
        <v>212</v>
      </c>
    </row>
    <row r="17" spans="1:5" ht="13.8" x14ac:dyDescent="0.2">
      <c r="A17" s="10" t="s">
        <v>40</v>
      </c>
      <c r="B17">
        <v>212</v>
      </c>
      <c r="E17" s="11"/>
    </row>
    <row r="18" spans="1:5" x14ac:dyDescent="0.2">
      <c r="A18" s="8" t="s">
        <v>25</v>
      </c>
      <c r="B18">
        <v>12</v>
      </c>
    </row>
    <row r="19" spans="1:5" x14ac:dyDescent="0.2">
      <c r="A19" s="9" t="s">
        <v>28</v>
      </c>
      <c r="B19">
        <v>12</v>
      </c>
    </row>
    <row r="20" spans="1:5" x14ac:dyDescent="0.2">
      <c r="A20" s="10" t="s">
        <v>40</v>
      </c>
      <c r="B20">
        <v>12</v>
      </c>
    </row>
    <row r="21" spans="1:5" x14ac:dyDescent="0.2">
      <c r="A21" s="8" t="s">
        <v>39</v>
      </c>
      <c r="B21">
        <v>262</v>
      </c>
      <c r="C21">
        <v>3</v>
      </c>
    </row>
    <row r="23" spans="1:5" x14ac:dyDescent="0.2">
      <c r="A23" s="7" t="s">
        <v>38</v>
      </c>
      <c r="B23" s="7" t="s">
        <v>41</v>
      </c>
      <c r="C23" s="7" t="s">
        <v>42</v>
      </c>
    </row>
    <row r="24" spans="1:5" x14ac:dyDescent="0.2">
      <c r="A24" s="8" t="s">
        <v>35</v>
      </c>
      <c r="B24">
        <v>34</v>
      </c>
      <c r="C24">
        <v>2</v>
      </c>
    </row>
    <row r="25" spans="1:5" x14ac:dyDescent="0.2">
      <c r="A25" s="9" t="s">
        <v>29</v>
      </c>
      <c r="B25">
        <v>12</v>
      </c>
      <c r="C25">
        <v>1</v>
      </c>
    </row>
    <row r="26" spans="1:5" x14ac:dyDescent="0.2">
      <c r="A26" s="10" t="s">
        <v>37</v>
      </c>
      <c r="B26">
        <v>12</v>
      </c>
      <c r="C26">
        <v>1</v>
      </c>
    </row>
    <row r="27" spans="1:5" x14ac:dyDescent="0.2">
      <c r="A27" s="9" t="s">
        <v>30</v>
      </c>
      <c r="B27">
        <v>22</v>
      </c>
      <c r="C27">
        <v>1</v>
      </c>
    </row>
    <row r="28" spans="1:5" x14ac:dyDescent="0.2">
      <c r="A28" s="10" t="s">
        <v>37</v>
      </c>
      <c r="B28">
        <v>22</v>
      </c>
      <c r="C28">
        <v>1</v>
      </c>
    </row>
    <row r="29" spans="1:5" x14ac:dyDescent="0.2">
      <c r="A29" s="8" t="s">
        <v>36</v>
      </c>
      <c r="B29">
        <v>216</v>
      </c>
      <c r="C29">
        <v>1</v>
      </c>
    </row>
    <row r="30" spans="1:5" x14ac:dyDescent="0.2">
      <c r="A30" s="9" t="s">
        <v>31</v>
      </c>
      <c r="B30">
        <v>2</v>
      </c>
      <c r="C30">
        <v>1</v>
      </c>
    </row>
    <row r="31" spans="1:5" x14ac:dyDescent="0.2">
      <c r="A31" s="10" t="s">
        <v>37</v>
      </c>
      <c r="B31">
        <v>2</v>
      </c>
      <c r="C31">
        <v>1</v>
      </c>
    </row>
    <row r="32" spans="1:5" x14ac:dyDescent="0.2">
      <c r="A32" s="9" t="s">
        <v>32</v>
      </c>
      <c r="B32">
        <v>1</v>
      </c>
    </row>
    <row r="33" spans="1:3" x14ac:dyDescent="0.2">
      <c r="A33" s="10" t="s">
        <v>40</v>
      </c>
      <c r="B33">
        <v>1</v>
      </c>
    </row>
    <row r="34" spans="1:3" x14ac:dyDescent="0.2">
      <c r="A34" s="9" t="s">
        <v>33</v>
      </c>
      <c r="B34">
        <v>1</v>
      </c>
    </row>
    <row r="35" spans="1:3" x14ac:dyDescent="0.2">
      <c r="A35" s="10" t="s">
        <v>40</v>
      </c>
      <c r="B35">
        <v>1</v>
      </c>
    </row>
    <row r="36" spans="1:3" x14ac:dyDescent="0.2">
      <c r="A36" s="9" t="s">
        <v>34</v>
      </c>
      <c r="B36">
        <v>212</v>
      </c>
    </row>
    <row r="37" spans="1:3" x14ac:dyDescent="0.2">
      <c r="A37" s="10" t="s">
        <v>40</v>
      </c>
      <c r="B37">
        <v>212</v>
      </c>
    </row>
    <row r="38" spans="1:3" x14ac:dyDescent="0.2">
      <c r="A38" s="8" t="s">
        <v>25</v>
      </c>
      <c r="B38">
        <v>12</v>
      </c>
    </row>
    <row r="39" spans="1:3" x14ac:dyDescent="0.2">
      <c r="A39" s="9" t="s">
        <v>28</v>
      </c>
      <c r="B39">
        <v>12</v>
      </c>
    </row>
    <row r="40" spans="1:3" x14ac:dyDescent="0.2">
      <c r="A40" s="10" t="s">
        <v>40</v>
      </c>
      <c r="B40">
        <v>12</v>
      </c>
    </row>
    <row r="41" spans="1:3" x14ac:dyDescent="0.2">
      <c r="A41" s="8" t="s">
        <v>39</v>
      </c>
      <c r="B41">
        <v>262</v>
      </c>
      <c r="C41">
        <v>3</v>
      </c>
    </row>
  </sheetData>
  <pageMargins left="0.19685039370078741" right="0.19685039370078741" top="0.94488188976377963" bottom="0.74803149606299213" header="0.31496062992125984" footer="0.31496062992125984"/>
  <pageSetup paperSize="9" scale="84" orientation="portrait" r:id="rId3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Hist</vt:lpstr>
      <vt:lpstr>Structure</vt:lpstr>
      <vt:lpstr>Guide</vt:lpstr>
      <vt:lpstr>Table examples</vt:lpstr>
      <vt:lpstr>Pivot table example</vt:lpstr>
      <vt:lpstr>Guide!Print_Area</vt:lpstr>
      <vt:lpstr>Hist!Print_Area</vt:lpstr>
      <vt:lpstr>'Table examples'!Print_Area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Benjamin Hodzic</cp:lastModifiedBy>
  <cp:lastPrinted>2022-08-23T15:42:20Z</cp:lastPrinted>
  <dcterms:created xsi:type="dcterms:W3CDTF">2008-06-07T09:53:51Z</dcterms:created>
  <dcterms:modified xsi:type="dcterms:W3CDTF">2022-10-05T12:47:35Z</dcterms:modified>
</cp:coreProperties>
</file>