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itrust\MG\ISMS\01_ITR-ISMS\STA_01-7-C_ITR-XlsTempl\Distributed\"/>
    </mc:Choice>
  </mc:AlternateContent>
  <xr:revisionPtr revIDLastSave="0" documentId="13_ncr:1_{9E860B57-76C1-4ACF-9B49-A7A22C213976}" xr6:coauthVersionLast="45" xr6:coauthVersionMax="45" xr10:uidLastSave="{00000000-0000-0000-0000-000000000000}"/>
  <bookViews>
    <workbookView xWindow="1290" yWindow="-120" windowWidth="27630" windowHeight="16440" tabRatio="733" xr2:uid="{00000000-000D-0000-FFFF-FFFF00000000}"/>
  </bookViews>
  <sheets>
    <sheet name="Hist" sheetId="3" r:id="rId1"/>
    <sheet name="Structure" sheetId="17" r:id="rId2"/>
    <sheet name="Guide" sheetId="37" r:id="rId3"/>
    <sheet name="Table examples" sheetId="34" r:id="rId4"/>
    <sheet name="Pivot table example" sheetId="36" r:id="rId5"/>
    <sheet name="Example" sheetId="26" state="hidden" r:id="rId6"/>
  </sheets>
  <functionGroups builtInGroupCount="19"/>
  <definedNames>
    <definedName name="_xlcn.WorksheetConnection_STA_I173_ITRXlsTempl_v1.1.1cha.xlsmTable31" hidden="1">Table3[]</definedName>
    <definedName name="_xlnm.Print_Area" localSheetId="5">Example!$A$1:$K$71</definedName>
    <definedName name="_xlnm.Print_Area" localSheetId="2">Guide!$A$1:$B$14</definedName>
    <definedName name="_xlnm.Print_Area" localSheetId="0">Hist!$A$1:$D$36</definedName>
    <definedName name="_xlnm.Print_Area" localSheetId="3">'Table examples'!#REF!</definedName>
  </definedNames>
  <calcPr calcId="191029"/>
  <pivotCaches>
    <pivotCache cacheId="0" r:id="rId7"/>
    <pivotCache cacheId="1" r:id="rId8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3" l="1"/>
  <c r="E60" i="34" l="1"/>
  <c r="E52" i="34"/>
  <c r="E44" i="34"/>
  <c r="E37" i="34"/>
  <c r="E30" i="34"/>
  <c r="E23" i="34"/>
  <c r="E15" i="34"/>
  <c r="E7" i="34"/>
  <c r="H56" i="26" l="1"/>
  <c r="H44" i="26"/>
  <c r="H31" i="26"/>
  <c r="H18" i="26"/>
  <c r="B13" i="37" a="1"/>
  <c r="B12" i="37" a="1"/>
  <c r="B12" i="37" l="1"/>
  <c r="B13" i="3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<sst xmlns="http://schemas.openxmlformats.org/spreadsheetml/2006/main" count="288" uniqueCount="147">
  <si>
    <t>Version</t>
  </si>
  <si>
    <t>Classification</t>
  </si>
  <si>
    <t>Date</t>
  </si>
  <si>
    <t>itrust consulting</t>
  </si>
  <si>
    <t>Author</t>
  </si>
  <si>
    <t>Role</t>
  </si>
  <si>
    <t>Name</t>
  </si>
  <si>
    <t>Responsability</t>
  </si>
  <si>
    <t>Owner</t>
  </si>
  <si>
    <t>Status</t>
  </si>
  <si>
    <t>C. Harpes</t>
  </si>
  <si>
    <t>Recipient</t>
  </si>
  <si>
    <t>Channel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</si>
  <si>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</si>
  <si>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</si>
  <si>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</si>
  <si>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</si>
  <si>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</si>
  <si>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</si>
  <si>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</si>
  <si>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</si>
  <si>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</si>
  <si>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</si>
  <si>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Working group</t>
  </si>
  <si>
    <t>Name(s)</t>
  </si>
  <si>
    <t>Distribution list</t>
  </si>
  <si>
    <t>Intranet</t>
  </si>
  <si>
    <t>CISO</t>
  </si>
  <si>
    <t>Managing Director</t>
  </si>
  <si>
    <t>ISMS team members</t>
  </si>
  <si>
    <t>Tab name</t>
  </si>
  <si>
    <t>Approval</t>
  </si>
  <si>
    <t>Summary of itrust Style (Heading 1)</t>
  </si>
  <si>
    <t>SubTitle (Heading 2)</t>
  </si>
  <si>
    <t>List of Table Style (Heading 3)</t>
  </si>
  <si>
    <t>Table_itrust1 : Clear (Heading 4)</t>
  </si>
  <si>
    <t>C1/H1</t>
  </si>
  <si>
    <t>H2</t>
  </si>
  <si>
    <t>H3</t>
  </si>
  <si>
    <t>H4</t>
  </si>
  <si>
    <t>H5</t>
  </si>
  <si>
    <t>H6</t>
  </si>
  <si>
    <t>Htotal</t>
  </si>
  <si>
    <t>C2</t>
  </si>
  <si>
    <t>C3</t>
  </si>
  <si>
    <t>C4</t>
  </si>
  <si>
    <t>C5</t>
  </si>
  <si>
    <t>C6</t>
  </si>
  <si>
    <t>C7</t>
  </si>
  <si>
    <t>C8</t>
  </si>
  <si>
    <t>C9</t>
  </si>
  <si>
    <t>Table_itrust2 Mix Clear/Medium</t>
  </si>
  <si>
    <t>Table_itrust3: Medium</t>
  </si>
  <si>
    <t>Table_itrust4: Mix Medium/Dark</t>
  </si>
  <si>
    <t>List of Specific Cell style</t>
  </si>
  <si>
    <t>H1</t>
  </si>
  <si>
    <t>Normal</t>
  </si>
  <si>
    <t>Input</t>
  </si>
  <si>
    <t>Calculation</t>
  </si>
  <si>
    <t>Explanary</t>
  </si>
  <si>
    <t>Note</t>
  </si>
  <si>
    <t>Internal</t>
  </si>
  <si>
    <t>Column1</t>
  </si>
  <si>
    <t>This tab explains the content of all tabl in this worksheet.</t>
  </si>
  <si>
    <t>Excel template (ITR-XlsTempl)</t>
  </si>
  <si>
    <t>Document creation as extract form ITR-AssetInventory v2.9</t>
  </si>
  <si>
    <t>1.1</t>
  </si>
  <si>
    <t>Rename tables styles without itrust and refer to theme colors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</si>
  <si>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</si>
  <si>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</si>
  <si>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</si>
  <si>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</si>
  <si>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</si>
  <si>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</si>
  <si>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</si>
  <si>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</si>
  <si>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</si>
  <si>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</si>
  <si>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</si>
  <si>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</si>
  <si>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</si>
  <si>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</si>
  <si>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</si>
  <si>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1.2</t>
  </si>
  <si>
    <t>I. Senft</t>
  </si>
  <si>
    <t>Delete itrust table styles or rename to Table_*
Add Pivot Table Style and changed Theme
Review Header</t>
  </si>
  <si>
    <t>Reference</t>
  </si>
  <si>
    <t>Application date</t>
  </si>
  <si>
    <t>01-7-C</t>
  </si>
  <si>
    <t>1.3</t>
  </si>
  <si>
    <t>New themes applied</t>
  </si>
  <si>
    <t>1.4</t>
  </si>
  <si>
    <t>Corrected Table_B1 to align with Word, format Table examples, recolor Headings with Background2, corrected Table_4, add IsFilled Module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</si>
  <si>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</si>
  <si>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</si>
  <si>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</si>
  <si>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</si>
  <si>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</si>
  <si>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</si>
  <si>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1.5</t>
  </si>
  <si>
    <t>Notes</t>
  </si>
  <si>
    <t>1. Activate macros; 
2. Create:
Function IsFilled(MyCell As Range) As Boolean
    ' IsFilled = IIf(MyCell.Interior.ColorIndex = xlNone, False, True)
    IsFilled = (MyCell.Interior.ColorIndex &lt;&gt; xlNone)
End Function
3.Use in a cell to activate as done in the cell below:</t>
  </si>
  <si>
    <t>Test: TRUE=</t>
  </si>
  <si>
    <t>FALSE=</t>
  </si>
  <si>
    <t>If not, make sure that formulas are recalculated regularly.</t>
  </si>
  <si>
    <t>1.6</t>
  </si>
  <si>
    <t>Process to adapt a document to this template</t>
  </si>
  <si>
    <t>Illustration of all tables defind as tables styles</t>
  </si>
  <si>
    <t>Structure</t>
  </si>
  <si>
    <t>Table examples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</si>
  <si>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</si>
  <si>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</si>
  <si>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</si>
  <si>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</si>
  <si>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</si>
  <si>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</si>
  <si>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</si>
  <si>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</si>
  <si>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</si>
  <si>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Organization</t>
  </si>
  <si>
    <t>Corrected spelling errors, added upper an lower border in Heading4, validation</t>
  </si>
  <si>
    <t>This document is a macro enabled document for the definition of the variables IsFilled used to maintain manual coloring in case of "Conditional formating" changing the Filling. How to activate:</t>
  </si>
  <si>
    <t>See printed version 
managed by the CISO</t>
  </si>
  <si>
    <t>Style: Table_B1</t>
  </si>
  <si>
    <t>Column2</t>
  </si>
  <si>
    <t>Column3</t>
  </si>
  <si>
    <t>Column4</t>
  </si>
  <si>
    <t>Column5</t>
  </si>
  <si>
    <t>Style: Table_B2</t>
  </si>
  <si>
    <t>Style: Table_1</t>
  </si>
  <si>
    <t>Style: Table_2</t>
  </si>
  <si>
    <t>Style: Table_3</t>
  </si>
  <si>
    <t>Style: Table_4</t>
  </si>
  <si>
    <t>Style: Table_5</t>
  </si>
  <si>
    <t>Style: Table_6</t>
  </si>
  <si>
    <t>Remove columne E here; Use Red for Heades instead of Pink</t>
  </si>
  <si>
    <t>1.6.2</t>
  </si>
  <si>
    <t>Added style number</t>
  </si>
  <si>
    <t>Date/Signature</t>
  </si>
  <si>
    <t>1.7</t>
  </si>
  <si>
    <t>Changed Hist according to MAU revision, Projet to Activity in Heading, add style Number, failed to update title in Heading automatically</t>
  </si>
  <si>
    <t>Use last Date in Histroy, can be changed manuall if different</t>
  </si>
  <si>
    <t>Use last Version in Histroy, can be changed manuall if different</t>
  </si>
  <si>
    <t>Document history</t>
  </si>
  <si>
    <t>1.8</t>
  </si>
  <si>
    <t>Delete void style, add Cell Wrapped</t>
  </si>
  <si>
    <t>1.7.1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</si>
</sst>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8"/>
      <color theme="1"/>
      <name val="Corbel"/>
      <family val="2"/>
      <scheme val="minor"/>
    </font>
    <font>
      <sz val="10"/>
      <color theme="1"/>
      <name val="Corbel"/>
      <family val="2"/>
    </font>
    <font>
      <sz val="11"/>
      <color theme="1"/>
      <name val="Corbel"/>
      <family val="2"/>
    </font>
    <font>
      <b/>
      <sz val="11"/>
      <color theme="1"/>
      <name val="Corbel"/>
      <family val="2"/>
    </font>
    <font>
      <b/>
      <sz val="10"/>
      <color indexed="8"/>
      <name val="Corbel"/>
      <family val="2"/>
    </font>
    <font>
      <sz val="11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b/>
      <sz val="14"/>
      <color rgb="FF7030A0"/>
      <name val="Corbel"/>
      <family val="2"/>
    </font>
    <font>
      <sz val="10"/>
      <color indexed="8"/>
      <name val="Corbel"/>
      <family val="2"/>
    </font>
    <font>
      <sz val="18"/>
      <color theme="3"/>
      <name val="Corbel"/>
      <family val="2"/>
      <scheme val="major"/>
    </font>
    <font>
      <b/>
      <sz val="9"/>
      <color theme="1"/>
      <name val="Corbel"/>
      <family val="2"/>
    </font>
    <font>
      <b/>
      <sz val="20"/>
      <name val="Corbel"/>
      <family val="2"/>
      <scheme val="major"/>
    </font>
    <font>
      <b/>
      <sz val="16"/>
      <name val="Corbel"/>
      <family val="2"/>
      <scheme val="major"/>
    </font>
    <font>
      <b/>
      <sz val="12"/>
      <name val="Corbel"/>
      <family val="2"/>
      <scheme val="major"/>
    </font>
    <font>
      <b/>
      <sz val="11"/>
      <name val="Corbel"/>
      <family val="2"/>
      <scheme val="major"/>
    </font>
    <font>
      <sz val="10"/>
      <color theme="1"/>
      <name val="Corbel"/>
      <family val="2"/>
      <scheme val="major"/>
    </font>
    <font>
      <sz val="10"/>
      <color theme="1"/>
      <name val="Corbel"/>
      <family val="2"/>
      <scheme val="minor"/>
    </font>
    <font>
      <sz val="9"/>
      <color theme="0" tint="-0.499984740745262"/>
      <name val="Corbel"/>
      <family val="2"/>
    </font>
    <font>
      <b/>
      <sz val="10"/>
      <color theme="1"/>
      <name val="Corbel"/>
      <family val="2"/>
      <scheme val="major"/>
    </font>
    <font>
      <b/>
      <sz val="11"/>
      <color theme="1"/>
      <name val="Corbel"/>
      <family val="2"/>
      <scheme val="major"/>
    </font>
    <font>
      <b/>
      <sz val="12"/>
      <color theme="1"/>
      <name val="Corbel"/>
      <family val="2"/>
      <scheme val="maj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249977111117893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2">
    <xf numFmtId="0" fontId="0" fillId="0" borderId="0"/>
    <xf numFmtId="0" fontId="13" fillId="5" borderId="1" applyNumberFormat="0" applyProtection="0">
      <alignment horizontal="center" vertical="center"/>
    </xf>
    <xf numFmtId="0" fontId="14" fillId="4" borderId="1" applyNumberFormat="0" applyProtection="0">
      <alignment horizontal="center" vertical="center"/>
    </xf>
    <xf numFmtId="0" fontId="15" fillId="6" borderId="1" applyNumberFormat="0" applyProtection="0">
      <alignment horizontal="left" vertical="center" indent="1"/>
    </xf>
    <xf numFmtId="0" fontId="16" fillId="3" borderId="1" applyNumberFormat="0" applyProtection="0">
      <alignment horizontal="left" vertical="center" indent="1"/>
    </xf>
    <xf numFmtId="0" fontId="17" fillId="0" borderId="0" applyFill="0" applyBorder="0" applyProtection="0">
      <alignment horizontal="left" vertical="top" wrapText="1" indent="1"/>
    </xf>
    <xf numFmtId="0" fontId="11" fillId="0" borderId="0" applyNumberFormat="0" applyFill="0" applyBorder="0" applyAlignment="0" applyProtection="0"/>
    <xf numFmtId="0" fontId="12" fillId="0" borderId="11" applyNumberFormat="0" applyFill="0" applyAlignment="0" applyProtection="0"/>
    <xf numFmtId="14" fontId="18" fillId="0" borderId="2">
      <alignment horizontal="left" vertical="top" indent="1"/>
    </xf>
    <xf numFmtId="0" fontId="19" fillId="0" borderId="1">
      <alignment horizontal="right" wrapText="1" indent="1"/>
    </xf>
    <xf numFmtId="4" fontId="17" fillId="0" borderId="0">
      <alignment horizontal="right" vertical="top" wrapText="1" indent="1"/>
    </xf>
    <xf numFmtId="0" fontId="17" fillId="0" borderId="2">
      <alignment horizontal="left" vertical="top" indent="1"/>
    </xf>
  </cellStyleXfs>
  <cellXfs count="93">
    <xf numFmtId="0" fontId="0" fillId="0" borderId="0" xfId="0"/>
    <xf numFmtId="14" fontId="5" fillId="0" borderId="2" xfId="0" applyNumberFormat="1" applyFont="1" applyBorder="1" applyAlignment="1">
      <alignment horizontal="left" vertical="center" indent="1"/>
    </xf>
    <xf numFmtId="0" fontId="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14" fillId="4" borderId="1" xfId="2" applyAlignment="1">
      <alignment vertical="center"/>
    </xf>
    <xf numFmtId="0" fontId="17" fillId="0" borderId="0" xfId="5">
      <alignment horizontal="left" vertical="top" wrapText="1" indent="1"/>
    </xf>
    <xf numFmtId="0" fontId="1" fillId="0" borderId="0" xfId="5" applyFont="1">
      <alignment horizontal="left" vertical="top" wrapText="1" indent="1"/>
    </xf>
    <xf numFmtId="14" fontId="10" fillId="0" borderId="2" xfId="0" applyNumberFormat="1" applyFont="1" applyBorder="1" applyAlignment="1">
      <alignment horizontal="left" vertical="center" indent="1"/>
    </xf>
    <xf numFmtId="0" fontId="15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5" fillId="6" borderId="1" xfId="3">
      <alignment horizontal="left" vertical="center" indent="1"/>
    </xf>
    <xf numFmtId="0" fontId="14" fillId="4" borderId="4" xfId="2" applyBorder="1">
      <alignment horizontal="center" vertical="center"/>
    </xf>
    <xf numFmtId="0" fontId="14" fillId="4" borderId="1" xfId="2" applyBorder="1" applyAlignment="1">
      <alignment horizontal="left" vertical="center"/>
    </xf>
    <xf numFmtId="0" fontId="14" fillId="4" borderId="1" xfId="2" applyBorder="1">
      <alignment horizontal="center" vertical="center"/>
    </xf>
    <xf numFmtId="0" fontId="16" fillId="3" borderId="1" xfId="4" applyBorder="1">
      <alignment horizontal="left" vertical="center" indent="1"/>
    </xf>
    <xf numFmtId="14" fontId="18" fillId="0" borderId="2" xfId="8">
      <alignment horizontal="left" vertical="top" indent="1"/>
    </xf>
    <xf numFmtId="0" fontId="2" fillId="7" borderId="0" xfId="0" applyFont="1" applyFill="1" applyAlignment="1">
      <alignment vertical="center"/>
    </xf>
    <xf numFmtId="0" fontId="17" fillId="0" borderId="1" xfId="5" applyBorder="1">
      <alignment horizontal="left" vertical="top" wrapText="1" indent="1"/>
    </xf>
    <xf numFmtId="0" fontId="16" fillId="3" borderId="1" xfId="4">
      <alignment horizontal="left" vertical="center" indent="1"/>
    </xf>
    <xf numFmtId="0" fontId="2" fillId="0" borderId="0" xfId="0" applyFont="1" applyAlignment="1">
      <alignment vertical="center" wrapText="1"/>
    </xf>
    <xf numFmtId="0" fontId="17" fillId="0" borderId="2" xfId="5" applyBorder="1">
      <alignment horizontal="left" vertical="top" wrapText="1" indent="1"/>
    </xf>
    <xf numFmtId="0" fontId="19" fillId="0" borderId="1" xfId="0" applyFont="1" applyBorder="1" applyAlignment="1">
      <alignment horizontal="right" wrapText="1" indent="1"/>
    </xf>
    <xf numFmtId="0" fontId="2" fillId="8" borderId="0" xfId="0" applyFont="1" applyFill="1" applyAlignment="1">
      <alignment vertical="center"/>
    </xf>
    <xf numFmtId="0" fontId="17" fillId="0" borderId="1" xfId="5" applyBorder="1">
      <alignment horizontal="left" vertical="top" wrapText="1" indent="1"/>
    </xf>
    <xf numFmtId="0" fontId="17" fillId="0" borderId="0" xfId="5" applyAlignment="1">
      <alignment horizontal="left" vertical="top" indent="1"/>
    </xf>
    <xf numFmtId="0" fontId="17" fillId="0" borderId="0" xfId="5" applyAlignment="1">
      <alignment horizontal="left" vertical="top" wrapText="1" indent="1"/>
    </xf>
    <xf numFmtId="0" fontId="20" fillId="0" borderId="0" xfId="5" applyFont="1" applyAlignment="1">
      <alignment horizontal="left" vertical="top" indent="1"/>
    </xf>
    <xf numFmtId="0" fontId="20" fillId="0" borderId="0" xfId="5" applyFont="1" applyAlignment="1">
      <alignment horizontal="left" vertical="top" wrapText="1" indent="1"/>
    </xf>
    <xf numFmtId="0" fontId="17" fillId="0" borderId="2" xfId="5" applyBorder="1" applyAlignment="1">
      <alignment horizontal="left" vertical="top" wrapText="1" indent="1"/>
    </xf>
    <xf numFmtId="0" fontId="1" fillId="0" borderId="2" xfId="5" applyFont="1" applyBorder="1">
      <alignment horizontal="left" vertical="top" wrapText="1" indent="1"/>
    </xf>
    <xf numFmtId="0" fontId="17" fillId="0" borderId="4" xfId="5" applyBorder="1">
      <alignment horizontal="left" vertical="top" wrapText="1" indent="1"/>
    </xf>
    <xf numFmtId="0" fontId="17" fillId="0" borderId="2" xfId="5" applyBorder="1">
      <alignment horizontal="left" vertical="top" wrapText="1" indent="1"/>
    </xf>
    <xf numFmtId="0" fontId="17" fillId="0" borderId="1" xfId="5" applyBorder="1">
      <alignment horizontal="left" vertical="top" wrapText="1" indent="1"/>
    </xf>
    <xf numFmtId="0" fontId="16" fillId="3" borderId="1" xfId="4">
      <alignment horizontal="left" vertical="center" indent="1"/>
    </xf>
    <xf numFmtId="0" fontId="22" fillId="0" borderId="0" xfId="5" applyFont="1">
      <alignment horizontal="left" vertical="top" wrapText="1" indent="1"/>
    </xf>
    <xf numFmtId="0" fontId="17" fillId="14" borderId="0" xfId="5" applyFill="1">
      <alignment horizontal="left" vertical="top" wrapText="1" indent="1"/>
    </xf>
    <xf numFmtId="0" fontId="17" fillId="0" borderId="2" xfId="5" applyBorder="1">
      <alignment horizontal="left" vertical="top" wrapText="1" indent="1"/>
    </xf>
    <xf numFmtId="0" fontId="1" fillId="0" borderId="4" xfId="5" applyFont="1" applyBorder="1">
      <alignment horizontal="left" vertical="top" wrapText="1" indent="1"/>
    </xf>
    <xf numFmtId="14" fontId="17" fillId="0" borderId="4" xfId="5" applyNumberFormat="1" applyBorder="1">
      <alignment horizontal="left" vertical="top" wrapText="1" indent="1"/>
    </xf>
    <xf numFmtId="0" fontId="1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15" fillId="6" borderId="1" xfId="3">
      <alignment horizontal="left" vertical="center" indent="1"/>
    </xf>
    <xf numFmtId="0" fontId="16" fillId="3" borderId="1" xfId="4">
      <alignment horizontal="left" vertical="center" indent="1"/>
    </xf>
    <xf numFmtId="0" fontId="2" fillId="0" borderId="3" xfId="0" applyFont="1" applyBorder="1" applyAlignment="1">
      <alignment horizontal="center" vertical="center"/>
    </xf>
    <xf numFmtId="0" fontId="17" fillId="0" borderId="6" xfId="5" applyBorder="1">
      <alignment horizontal="left" vertical="top" wrapText="1" indent="1"/>
    </xf>
    <xf numFmtId="0" fontId="17" fillId="0" borderId="5" xfId="5" applyBorder="1">
      <alignment horizontal="left" vertical="top" wrapText="1" indent="1"/>
    </xf>
    <xf numFmtId="0" fontId="17" fillId="0" borderId="1" xfId="5" applyBorder="1">
      <alignment horizontal="left" vertical="top" wrapText="1" indent="1"/>
    </xf>
    <xf numFmtId="0" fontId="17" fillId="0" borderId="2" xfId="5" applyBorder="1">
      <alignment horizontal="left" vertical="top" wrapText="1" indent="1"/>
    </xf>
    <xf numFmtId="0" fontId="17" fillId="0" borderId="3" xfId="5" applyBorder="1">
      <alignment horizontal="left" vertical="top" wrapText="1" indent="1"/>
    </xf>
    <xf numFmtId="0" fontId="2" fillId="0" borderId="0" xfId="0" applyFont="1" applyAlignment="1">
      <alignment horizontal="left" vertical="center"/>
    </xf>
    <xf numFmtId="0" fontId="13" fillId="5" borderId="1" xfId="1" applyBorder="1">
      <alignment horizontal="center" vertical="center"/>
    </xf>
    <xf numFmtId="0" fontId="14" fillId="4" borderId="1" xfId="2" applyBorder="1">
      <alignment horizontal="center" vertical="center"/>
    </xf>
    <xf numFmtId="0" fontId="15" fillId="6" borderId="1" xfId="3" applyBorder="1">
      <alignment horizontal="left" vertical="center" indent="1"/>
    </xf>
    <xf numFmtId="0" fontId="17" fillId="0" borderId="7" xfId="5" applyBorder="1">
      <alignment horizontal="left" vertical="top" wrapText="1" indent="1"/>
    </xf>
    <xf numFmtId="0" fontId="17" fillId="0" borderId="10" xfId="5" applyBorder="1">
      <alignment horizontal="left" vertical="top" wrapText="1" indent="1"/>
    </xf>
    <xf numFmtId="14" fontId="18" fillId="0" borderId="12" xfId="8" applyBorder="1">
      <alignment horizontal="left" vertical="top" indent="1"/>
    </xf>
    <xf numFmtId="14" fontId="18" fillId="0" borderId="13" xfId="8" applyBorder="1">
      <alignment horizontal="left" vertical="top" indent="1"/>
    </xf>
    <xf numFmtId="0" fontId="17" fillId="0" borderId="12" xfId="5" applyBorder="1">
      <alignment horizontal="left" vertical="top" wrapText="1" indent="1"/>
    </xf>
    <xf numFmtId="0" fontId="17" fillId="0" borderId="13" xfId="5" applyBorder="1">
      <alignment horizontal="left" vertical="top" wrapText="1" indent="1"/>
    </xf>
    <xf numFmtId="0" fontId="17" fillId="16" borderId="1" xfId="5" applyFill="1" applyBorder="1">
      <alignment horizontal="left" vertical="top" wrapText="1" indent="1"/>
    </xf>
    <xf numFmtId="0" fontId="17" fillId="17" borderId="1" xfId="5" applyFill="1" applyBorder="1">
      <alignment horizontal="left" vertical="top" wrapText="1" indent="1"/>
    </xf>
    <xf numFmtId="0" fontId="21" fillId="9" borderId="1" xfId="5" applyFont="1" applyFill="1" applyBorder="1" applyAlignment="1">
      <alignment horizontal="left" vertical="center" wrapText="1" indent="1"/>
    </xf>
    <xf numFmtId="0" fontId="22" fillId="10" borderId="1" xfId="5" applyFont="1" applyFill="1" applyBorder="1">
      <alignment horizontal="left" vertical="top" wrapText="1" indent="1"/>
    </xf>
    <xf numFmtId="0" fontId="22" fillId="11" borderId="1" xfId="5" applyFont="1" applyFill="1" applyBorder="1">
      <alignment horizontal="left" vertical="top" wrapText="1" indent="1"/>
    </xf>
    <xf numFmtId="0" fontId="22" fillId="12" borderId="1" xfId="5" applyFont="1" applyFill="1" applyBorder="1">
      <alignment horizontal="left" vertical="top" wrapText="1" indent="1"/>
    </xf>
    <xf numFmtId="0" fontId="21" fillId="13" borderId="1" xfId="5" applyFont="1" applyFill="1" applyBorder="1">
      <alignment horizontal="left" vertical="top" wrapText="1" indent="1"/>
    </xf>
    <xf numFmtId="0" fontId="22" fillId="15" borderId="1" xfId="5" applyFont="1" applyFill="1" applyBorder="1">
      <alignment horizontal="left" vertical="top" wrapText="1" indent="1"/>
    </xf>
    <xf numFmtId="0" fontId="0" fillId="0" borderId="0" xfId="0" applyAlignment="1">
      <alignment horizontal="center" vertical="center"/>
    </xf>
    <xf numFmtId="0" fontId="14" fillId="2" borderId="1" xfId="2" applyFill="1">
      <alignment horizontal="center" vertical="center"/>
    </xf>
    <xf numFmtId="0" fontId="17" fillId="0" borderId="8" xfId="5" applyBorder="1">
      <alignment horizontal="left" vertical="top" wrapText="1" indent="1"/>
    </xf>
    <xf numFmtId="14" fontId="10" fillId="0" borderId="7" xfId="0" applyNumberFormat="1" applyFont="1" applyBorder="1" applyAlignment="1">
      <alignment horizontal="left" vertical="center" indent="1"/>
    </xf>
    <xf numFmtId="0" fontId="17" fillId="0" borderId="7" xfId="5" applyBorder="1" applyAlignment="1">
      <alignment horizontal="left" vertical="top" wrapText="1" indent="1"/>
    </xf>
  </cellXfs>
  <cellStyles count="12"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umber" xfId="10" xr:uid="{BB0F20D5-51C4-41B0-9CAA-D44405F8967A}"/>
    <cellStyle name="Signature" xfId="9" xr:uid="{062DEF26-C482-4649-BE84-11BEC5E59865}"/>
    <cellStyle name="Title" xfId="6" builtinId="15" hidden="1"/>
    <cellStyle name="Total" xfId="7" builtinId="25" hidden="1"/>
  </cellStyles>
  <dxfs count="182"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alignment horizontal="left" vertical="top" textRotation="0" wrapText="1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orbel"/>
        <family val="2"/>
        <scheme val="none"/>
      </font>
      <numFmt numFmtId="19" formatCode="dd/mm/yy"/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0" defaultTableStyle="Table_1" defaultPivotStyle="PivotStyleLight16">
    <tableStyle name="PivotTable_1" table="0" count="14" xr9:uid="{D6F9E536-AE99-4E1F-9899-8EE2952B81D7}">
      <tableStyleElement type="headerRow" dxfId="181"/>
      <tableStyleElement type="totalRow" dxfId="180"/>
      <tableStyleElement type="firstColumn" dxfId="179"/>
      <tableStyleElement type="lastColumn" dxfId="178"/>
      <tableStyleElement type="firstSubtotalColumn" dxfId="177"/>
      <tableStyleElement type="secondSubtotalColumn" dxfId="176"/>
      <tableStyleElement type="firstSubtotalRow" dxfId="175"/>
      <tableStyleElement type="secondSubtotalRow" dxfId="174"/>
      <tableStyleElement type="firstColumnSubheading" dxfId="173"/>
      <tableStyleElement type="secondColumnSubheading" dxfId="172"/>
      <tableStyleElement type="firstRowSubheading" dxfId="171"/>
      <tableStyleElement type="secondRowSubheading" dxfId="170"/>
      <tableStyleElement type="thirdRowSubheading" dxfId="169"/>
      <tableStyleElement type="pageFieldLabels" dxfId="168"/>
    </tableStyle>
    <tableStyle name="PivotTable_2" table="0" count="14" xr9:uid="{98FAD84F-B566-4FA3-AD06-8E8BA71A9B10}">
      <tableStyleElement type="headerRow" dxfId="167"/>
      <tableStyleElement type="totalRow" dxfId="166"/>
      <tableStyleElement type="firstColumn" dxfId="165"/>
      <tableStyleElement type="lastColumn" dxfId="164"/>
      <tableStyleElement type="firstSubtotalColumn" dxfId="163"/>
      <tableStyleElement type="secondSubtotalColumn" dxfId="162"/>
      <tableStyleElement type="firstSubtotalRow" dxfId="161"/>
      <tableStyleElement type="secondSubtotalRow" dxfId="160"/>
      <tableStyleElement type="firstColumnSubheading" dxfId="159"/>
      <tableStyleElement type="secondColumnSubheading" dxfId="158"/>
      <tableStyleElement type="firstRowSubheading" dxfId="157"/>
      <tableStyleElement type="secondRowSubheading" dxfId="156"/>
      <tableStyleElement type="thirdRowSubheading" dxfId="155"/>
      <tableStyleElement type="pageFieldLabels" dxfId="154"/>
    </tableStyle>
    <tableStyle name="Table_1" pivot="0" count="7" xr9:uid="{00000000-0011-0000-FFFF-FFFF04000000}">
      <tableStyleElement type="wholeTable" dxfId="153"/>
      <tableStyleElement type="headerRow" dxfId="152"/>
      <tableStyleElement type="totalRow" dxfId="151"/>
      <tableStyleElement type="firstColumn" dxfId="150"/>
      <tableStyleElement type="lastColumn" dxfId="149"/>
      <tableStyleElement type="secondRowStripe" dxfId="148"/>
      <tableStyleElement type="firstColumnStripe" dxfId="147"/>
    </tableStyle>
    <tableStyle name="Table_2" pivot="0" count="7" xr9:uid="{00000000-0011-0000-FFFF-FFFF00000000}">
      <tableStyleElement type="wholeTable" dxfId="146"/>
      <tableStyleElement type="headerRow" dxfId="145"/>
      <tableStyleElement type="totalRow" dxfId="144"/>
      <tableStyleElement type="firstColumn" dxfId="143"/>
      <tableStyleElement type="lastColumn" dxfId="142"/>
      <tableStyleElement type="secondRowStripe" dxfId="141"/>
      <tableStyleElement type="firstColumnStripe" dxfId="140"/>
    </tableStyle>
    <tableStyle name="Table_3" pivot="0" count="7" xr9:uid="{00000000-0011-0000-FFFF-FFFF01000000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secondRowStripe" dxfId="134"/>
      <tableStyleElement type="firstColumnStripe" dxfId="133"/>
    </tableStyle>
    <tableStyle name="Table_4" pivot="0" count="8" xr9:uid="{00000000-0011-0000-FFFF-FFFF02000000}">
      <tableStyleElement type="wholeTable" dxfId="132"/>
      <tableStyleElement type="headerRow" dxfId="131"/>
      <tableStyleElement type="totalRow" dxfId="130"/>
      <tableStyleElement type="firstColumn" dxfId="129"/>
      <tableStyleElement type="lastColumn" dxfId="128"/>
      <tableStyleElement type="secondRowStripe" dxfId="127"/>
      <tableStyleElement type="firstColumnStripe" dxfId="126"/>
      <tableStyleElement type="secondColumnStripe" dxfId="125"/>
    </tableStyle>
    <tableStyle name="Table_5" pivot="0" count="7" xr9:uid="{288A2F39-F8C3-41A8-8C0A-250B6EDA9266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secondRowStripe" dxfId="119"/>
      <tableStyleElement type="firstColumnStripe" dxfId="118"/>
    </tableStyle>
    <tableStyle name="Table_6" pivot="0" count="7" xr9:uid="{92679619-5CE3-4163-A09C-BE8399647A9B}">
      <tableStyleElement type="wholeTable" dxfId="117"/>
      <tableStyleElement type="headerRow" dxfId="116"/>
      <tableStyleElement type="totalRow" dxfId="115"/>
      <tableStyleElement type="firstColumn" dxfId="114"/>
      <tableStyleElement type="lastColumn" dxfId="113"/>
      <tableStyleElement type="secondRowStripe" dxfId="112"/>
      <tableStyleElement type="firstColumnStripe" dxfId="111"/>
    </tableStyle>
    <tableStyle name="Table_B1" pivot="0" count="8" xr9:uid="{D25C43D6-AF28-4C9B-8C2A-602AEEF2492E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secondRowStripe" dxfId="105"/>
      <tableStyleElement type="firstColumnStripe" dxfId="104"/>
      <tableStyleElement type="secondColumnStripe" dxfId="103"/>
    </tableStyle>
    <tableStyle name="Table_B2" pivot="0" count="8" xr9:uid="{5B5A6AAA-A4F0-4B53-A8ED-7DD903B2BB95}">
      <tableStyleElement type="wholeTable" dxfId="102"/>
      <tableStyleElement type="headerRow" dxfId="101"/>
      <tableStyleElement type="totalRow" dxfId="100"/>
      <tableStyleElement type="firstColumn" dxfId="99"/>
      <tableStyleElement type="lastColumn" dxfId="98"/>
      <tableStyleElement type="secondRowStripe" dxfId="97"/>
      <tableStyleElement type="firstColumnStripe" dxfId="96"/>
      <tableStyleElement type="secondColumnStripe" dxfId="9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130970</xdr:colOff>
      <xdr:row>10</xdr:row>
      <xdr:rowOff>160735</xdr:rowOff>
    </xdr:from>
    <xdr:to>
      <xdr:col>5</xdr:col>
      <xdr:colOff>470298</xdr:colOff>
      <xdr:row>13</xdr:row>
      <xdr:rowOff>148828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B02728-2E2D-44A9-BDF2-4FF07CCFC779}"/>
            </a:ext>
          </a:extLst>
        </xdr:cNvPr>
        <xdr:cNvSpPr txBox="1"/>
      </xdr:nvSpPr>
      <xdr:spPr>
        <a:xfrm>
          <a:off x="3674270" y="2361010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Table_itrust1</a:t>
          </a:r>
        </a:p>
      </xdr:txBody>
    </xdr:sp>
    <xdr:clientData/>
  </xdr:twoCellAnchor>
  <xdr:twoCellAnchor>
    <xdr:from>
      <xdr:col>3</xdr:col>
      <xdr:colOff>107156</xdr:colOff>
      <xdr:row>23</xdr:row>
      <xdr:rowOff>166687</xdr:rowOff>
    </xdr:from>
    <xdr:to>
      <xdr:col>5</xdr:col>
      <xdr:colOff>446484</xdr:colOff>
      <xdr:row>26</xdr:row>
      <xdr:rowOff>154780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E824DF-2FCF-427E-ABCC-2B718923B96E}"/>
            </a:ext>
          </a:extLst>
        </xdr:cNvPr>
        <xdr:cNvSpPr txBox="1"/>
      </xdr:nvSpPr>
      <xdr:spPr>
        <a:xfrm>
          <a:off x="3650456" y="48434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Table_itrust2</a:t>
          </a:r>
        </a:p>
      </xdr:txBody>
    </xdr:sp>
    <xdr:clientData/>
  </xdr:twoCellAnchor>
  <xdr:twoCellAnchor>
    <xdr:from>
      <xdr:col>3</xdr:col>
      <xdr:colOff>107156</xdr:colOff>
      <xdr:row>36</xdr:row>
      <xdr:rowOff>166687</xdr:rowOff>
    </xdr:from>
    <xdr:to>
      <xdr:col>5</xdr:col>
      <xdr:colOff>446484</xdr:colOff>
      <xdr:row>39</xdr:row>
      <xdr:rowOff>154780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CC2A34-B0C0-44F8-8BB1-861CB056A8E6}"/>
            </a:ext>
          </a:extLst>
        </xdr:cNvPr>
        <xdr:cNvSpPr txBox="1"/>
      </xdr:nvSpPr>
      <xdr:spPr>
        <a:xfrm>
          <a:off x="3650456" y="7319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Table_itrust3</a:t>
          </a:r>
        </a:p>
      </xdr:txBody>
    </xdr:sp>
    <xdr:clientData/>
  </xdr:twoCellAnchor>
  <xdr:twoCellAnchor>
    <xdr:from>
      <xdr:col>3</xdr:col>
      <xdr:colOff>107156</xdr:colOff>
      <xdr:row>48</xdr:row>
      <xdr:rowOff>166687</xdr:rowOff>
    </xdr:from>
    <xdr:to>
      <xdr:col>5</xdr:col>
      <xdr:colOff>446484</xdr:colOff>
      <xdr:row>51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D32AD-9135-4304-A5B4-C5F359583556}"/>
            </a:ext>
          </a:extLst>
        </xdr:cNvPr>
        <xdr:cNvSpPr txBox="1"/>
      </xdr:nvSpPr>
      <xdr:spPr>
        <a:xfrm>
          <a:off x="3650456" y="9605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Table_itrust4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26:D37" totalsRowShown="0" tableBorderDxfId="94" totalsRowBorderDxfId="93" headerRowCellStyle="Heading 4">
  <autoFilter ref="A26:D37" xr:uid="{DA53C3ED-75C2-4120-8DA7-F55F0FDEA131}"/>
  <tableColumns count="4">
    <tableColumn id="1" xr3:uid="{20333092-3320-4F4E-8B50-C3164A702ECA}" name="Version" dataDxfId="92" dataCellStyle="Cell-Normal"/>
    <tableColumn id="2" xr3:uid="{C4BF1A7A-5343-4ED3-B424-F1E933EE432F}" name="Date" dataDxfId="91"/>
    <tableColumn id="3" xr3:uid="{681AA722-74A6-4306-8999-B4E50BAAA429}" name="Author" dataDxfId="90" dataCellStyle="Cell-Normal"/>
    <tableColumn id="4" xr3:uid="{8522AC1F-D7AD-44E7-8FE7-7BF2C67B35A1}" name="Change management" dataDxfId="89" dataCellStyle="Cell-Normal"/>
  </tableColumns>
  <tableStyleInfo name="Table_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85" headerRowCellStyle="Heading 3" dataCellStyle="Cell-Normal">
  <autoFilter ref="A1:D6" xr:uid="{00000000-0009-0000-0100-000003000000}"/>
  <tableColumns count="4">
    <tableColumn id="1" xr3:uid="{00000000-0010-0000-0000-000001000000}" name="Tab name" dataCellStyle="Cell-Normal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Void" dataCellStyle="Cell-Normal"/>
  </tableColumns>
  <tableStyleInfo name="Table_B2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1CCBF34-DAF7-464A-AC02-BE3C5B68EE8D}" name="Table_117" displayName="Table_117" ref="A18:E23" totalsRowCount="1" headerRowDxfId="84" headerRowCellStyle="Cell-Normal" dataCellStyle="Cell-Normal" totalsRowCellStyle="Cell-Normal">
  <autoFilter ref="A18:E22" xr:uid="{E81B851A-EE5A-43C3-88A1-2C98258DFF67}"/>
  <tableColumns count="5">
    <tableColumn id="1" xr3:uid="{95908389-B3CF-4C67-8D28-ECE2165544B4}" name="Column1" totalsRowLabel="Total" dataCellStyle="Cell-Normal" totalsRowCellStyle="Cell-Normal"/>
    <tableColumn id="2" xr3:uid="{D3DCDEC0-8982-4D32-AF9F-0C92EBC9732B}" name="Column2" dataCellStyle="Cell-Normal" totalsRowCellStyle="Cell-Normal"/>
    <tableColumn id="3" xr3:uid="{B6DA8211-4284-48EC-A9C6-D0E0F3C26C4E}" name="Column3" dataCellStyle="Cell-Normal" totalsRowCellStyle="Cell-Normal"/>
    <tableColumn id="4" xr3:uid="{B0546D31-B2BB-47D1-B35F-C0529739EA94}" name="Column4" dataCellStyle="Cell-Normal" totalsRowCellStyle="Cell-Normal"/>
    <tableColumn id="5" xr3:uid="{7AA31919-2C65-4187-BD2F-06CE85A0EC69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4C17A2-B0EF-4E63-983F-20651A7B0C6D}" name="Table_218" displayName="Table_218" ref="A26:E30" totalsRowCount="1" headerRowCellStyle="Cell-Normal" dataCellStyle="Cell-Normal" totalsRowCellStyle="Cell-Normal">
  <autoFilter ref="A26:E29" xr:uid="{F0634937-CC40-4149-8F17-07EEF91658B2}"/>
  <tableColumns count="5">
    <tableColumn id="1" xr3:uid="{86F046E1-A931-4BC9-A7FD-9F21AA5149C6}" name="Column1" totalsRowLabel="Total" dataCellStyle="Cell-Normal" totalsRowCellStyle="Cell-Normal"/>
    <tableColumn id="2" xr3:uid="{AFACC863-56C6-460D-8FD4-04AE25677F74}" name="Column2" dataCellStyle="Cell-Normal" totalsRowCellStyle="Cell-Normal"/>
    <tableColumn id="3" xr3:uid="{5499F864-5A23-4751-A3F4-88F963FDA130}" name="Column3" dataCellStyle="Cell-Normal" totalsRowCellStyle="Cell-Normal"/>
    <tableColumn id="4" xr3:uid="{72202380-F60E-440C-B53A-2781F323F82C}" name="Column4" dataCellStyle="Cell-Normal" totalsRowCellStyle="Cell-Normal"/>
    <tableColumn id="5" xr3:uid="{B5787292-DD53-4520-9691-ED7667A43812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D4F4E1-4B36-4F2C-8CE1-F57436D90169}" name="Table_319" displayName="Table_319" ref="A33:E37" totalsRowCount="1" headerRowCellStyle="Cell-Normal" dataCellStyle="Cell-Normal" totalsRowCellStyle="Cell-Normal">
  <autoFilter ref="A33:E36" xr:uid="{0C938759-B12F-48F9-960D-3C168DB21AA7}"/>
  <tableColumns count="5">
    <tableColumn id="1" xr3:uid="{D47B6C57-EDC9-4FDB-81FB-1781B45E6F25}" name="Column1" totalsRowLabel="Total" dataCellStyle="Cell-Normal" totalsRowCellStyle="Cell-Normal"/>
    <tableColumn id="2" xr3:uid="{DCC87CE1-7062-4789-A322-4B8D51EA58A7}" name="Column2" dataCellStyle="Cell-Normal" totalsRowCellStyle="Cell-Normal"/>
    <tableColumn id="3" xr3:uid="{F10EE19A-C5FF-4C20-A7AF-938E1232A664}" name="Column3" dataCellStyle="Cell-Normal" totalsRowCellStyle="Cell-Normal"/>
    <tableColumn id="4" xr3:uid="{C4D2A436-8640-4DB8-A56F-87B3E3274468}" name="Column4" dataCellStyle="Cell-Normal" totalsRowCellStyle="Cell-Normal"/>
    <tableColumn id="5" xr3:uid="{13CADFF9-F3F0-48CC-82AB-0BF0FF9A5EA1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196969-957C-4984-8BE1-8BB914221E9C}" name="Table_420" displayName="Table_420" ref="A40:E44" totalsRowCount="1" headerRowCellStyle="Cell-Normal" dataCellStyle="Cell-Normal" totalsRowCellStyle="Cell-Normal">
  <autoFilter ref="A40:E43" xr:uid="{503D062B-4669-4F5A-92B4-84D34A3C85C6}"/>
  <tableColumns count="5">
    <tableColumn id="1" xr3:uid="{839C0D8B-A1FB-4347-9DE5-2CC79AAEBC0D}" name="Column1" totalsRowLabel="Total" dataCellStyle="Cell-Normal" totalsRowCellStyle="Cell-Normal"/>
    <tableColumn id="2" xr3:uid="{0349161A-51C3-4B52-8E66-1C1266CAFEBC}" name="Column2" dataCellStyle="Cell-Normal" totalsRowCellStyle="Cell-Normal"/>
    <tableColumn id="3" xr3:uid="{91E4867C-C2BE-4833-8228-D9C540AFFC5A}" name="Column3" dataCellStyle="Cell-Normal" totalsRowCellStyle="Cell-Normal"/>
    <tableColumn id="4" xr3:uid="{FE2663E6-E487-4208-BA8D-4B2B7AE5F637}" name="Column4" dataCellStyle="Cell-Normal" totalsRowCellStyle="Cell-Normal"/>
    <tableColumn id="5" xr3:uid="{6E188023-76C2-45E5-ACB6-D72090C70B77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BD5EA7-76F5-446F-9B12-C1FC010A1055}" name="Table_521" displayName="Table_521" ref="A47:E52" totalsRowCount="1" headerRowCellStyle="Cell-Normal" dataCellStyle="Cell-Normal" totalsRowCellStyle="Cell-Normal">
  <autoFilter ref="A47:E51" xr:uid="{700C1EF3-7082-4BCE-B360-4F4D72E3823E}"/>
  <tableColumns count="5">
    <tableColumn id="1" xr3:uid="{EDFE4EE4-7091-431B-AFA7-E800B3CF8C2E}" name="Column1" totalsRowLabel="Total" dataCellStyle="Cell-Normal" totalsRowCellStyle="Cell-Normal"/>
    <tableColumn id="2" xr3:uid="{578FD72B-A990-4172-9B45-877BB12CD8D1}" name="Column2" dataCellStyle="Cell-Normal" totalsRowCellStyle="Cell-Normal"/>
    <tableColumn id="3" xr3:uid="{271DDC32-F58D-472E-A1B6-A285112BF9CA}" name="Column3" dataCellStyle="Cell-Normal" totalsRowCellStyle="Cell-Normal"/>
    <tableColumn id="4" xr3:uid="{860D3A5A-BF76-4FBE-B167-942D48EB9B3A}" name="Column4" dataCellStyle="Cell-Normal" totalsRowCellStyle="Cell-Normal"/>
    <tableColumn id="5" xr3:uid="{2861689F-A2B9-4189-AC4B-CEB4AB429051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4C7974-7D60-4EAC-B527-E8EF04C22CB2}" name="Table_B222" displayName="Table_B222" ref="A10:E15" totalsRowCount="1" headerRowCellStyle="Cell-Normal" dataCellStyle="Cell-Normal" totalsRowCellStyle="Cell-Normal">
  <autoFilter ref="A10:E14" xr:uid="{5317D78D-F95E-425D-92EB-6B5E44C1F543}"/>
  <tableColumns count="5">
    <tableColumn id="1" xr3:uid="{C8634700-9AFB-453E-8F5C-D7F057A8A3C5}" name="Column1" totalsRowLabel="Total" dataCellStyle="Cell-Normal" totalsRowCellStyle="Cell-Normal"/>
    <tableColumn id="2" xr3:uid="{66443FBD-41AF-4B89-A386-A2771CFDAF23}" name="Column2" dataCellStyle="Cell-Normal" totalsRowCellStyle="Cell-Normal"/>
    <tableColumn id="3" xr3:uid="{62F7A6A0-964E-405E-8E4E-8798822B93C0}" name="Column3" dataCellStyle="Cell-Normal" totalsRowCellStyle="Cell-Normal"/>
    <tableColumn id="4" xr3:uid="{7D710518-CDFE-4A24-9BCC-43FCFEDCD002}" name="Column4" dataCellStyle="Cell-Normal" totalsRowCellStyle="Cell-Normal"/>
    <tableColumn id="5" xr3:uid="{5F22A5D8-B584-4A9A-B2D7-6E4FDBBF9736}" name="Column5" totalsRowFunction="count" dataCellStyle="Cell-Normal" totalsRowCellStyle="Cell-Normal"/>
  </tableColumns>
  <tableStyleInfo name="Table_B2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F2D23F-57C4-4673-9D8B-519414BAAF13}" name="Table_623" displayName="Table_623" ref="A55:E60" totalsRowCount="1" headerRowCellStyle="Cell-Normal" dataCellStyle="Cell-Normal" totalsRowCellStyle="Cell-Normal">
  <autoFilter ref="A55:E59" xr:uid="{A90E9C0F-1C60-4408-BDF5-3470E1EE0CAB}"/>
  <tableColumns count="5">
    <tableColumn id="1" xr3:uid="{5D9D63FC-84D1-4110-8E82-70CD1E29152E}" name="Column1" totalsRowLabel="Total" dataCellStyle="Cell-Normal" totalsRowCellStyle="Cell-Normal"/>
    <tableColumn id="2" xr3:uid="{F5CCA466-4A96-4053-AA4F-8E0961C1B0FC}" name="Column2" dataCellStyle="Cell-Normal" totalsRowCellStyle="Cell-Normal"/>
    <tableColumn id="3" xr3:uid="{62A78D39-F16E-44ED-87F0-F2D45F5EA66B}" name="Column3" dataCellStyle="Cell-Normal" totalsRowCellStyle="Cell-Normal"/>
    <tableColumn id="4" xr3:uid="{78FFE805-902C-4A49-B269-94D4314CD1CE}" name="Column4" dataCellStyle="Cell-Normal" totalsRowCellStyle="Cell-Normal"/>
    <tableColumn id="5" xr3:uid="{5F6EAB53-053C-40DA-AB0C-BFE06AEE0442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E8B67D0-451E-4C93-873B-F2B4EF3F3300}" name="Table_B124" displayName="Table_B124" ref="A2:E7" totalsRowCount="1" headerRowCellStyle="Cell-Normal" dataCellStyle="Cell-Normal" totalsRowCellStyle="Cell-Normal">
  <autoFilter ref="A2:E6" xr:uid="{29D0505E-0553-4288-927F-A1E2F82A5189}"/>
  <tableColumns count="5">
    <tableColumn id="1" xr3:uid="{27A773C0-D503-451D-A6CD-58F6DF402BFC}" name="Column1" totalsRowLabel="Total" dataCellStyle="Cell-Normal" totalsRowCellStyle="Cell-Normal"/>
    <tableColumn id="2" xr3:uid="{9AA86263-9C95-4AFE-A74D-DE9D3C7C0E48}" name="Column2" dataCellStyle="Cell-Normal" totalsRowCellStyle="Cell-Normal"/>
    <tableColumn id="3" xr3:uid="{DA1166AB-C4AA-425B-AE1C-FFBB0F972717}" name="Column3" dataCellStyle="Cell-Normal" totalsRowCellStyle="Cell-Normal"/>
    <tableColumn id="4" xr3:uid="{5E958F29-BF65-44BE-B0B0-8048AE80616E}" name="Column4" dataCellStyle="Cell-Normal" totalsRowCellStyle="Cell-Normal"/>
    <tableColumn id="5" xr3:uid="{2673D25A-CC2F-4FDD-A9B6-E1673CAA1F55}" name="Column5" totalsRowFunction="count" dataCellStyle="Cell-Normal" totalsRowCellStyle="Cell-Normal"/>
  </tableColumns>
  <tableStyleInfo name="Table_B1" showFirstColumn="1" showLastColumn="1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2" displayName="Table2" ref="B9:H18" totalsRowCount="1" headerRowDxfId="83" dataDxfId="82" totalsRowDxfId="81">
  <autoFilter ref="B9:H17" xr:uid="{00000000-0009-0000-0100-000005000000}"/>
  <tableColumns count="7">
    <tableColumn id="1" xr3:uid="{00000000-0010-0000-0500-000001000000}" name="C1/H1" totalsRowLabel="Total" dataDxfId="80" totalsRowDxfId="79"/>
    <tableColumn id="2" xr3:uid="{00000000-0010-0000-0500-000002000000}" name="H2" dataDxfId="78" totalsRowDxfId="77"/>
    <tableColumn id="3" xr3:uid="{00000000-0010-0000-0500-000003000000}" name="H3" dataDxfId="76" totalsRowDxfId="75"/>
    <tableColumn id="4" xr3:uid="{00000000-0010-0000-0500-000004000000}" name="H4" dataDxfId="74" totalsRowDxfId="73"/>
    <tableColumn id="5" xr3:uid="{00000000-0010-0000-0500-000005000000}" name="H5" dataDxfId="72" totalsRowDxfId="71"/>
    <tableColumn id="6" xr3:uid="{00000000-0010-0000-0500-000006000000}" name="H6" dataDxfId="70" totalsRowDxfId="69"/>
    <tableColumn id="7" xr3:uid="{00000000-0010-0000-0500-000007000000}" name="Htotal" totalsRowFunction="count" dataDxfId="68" totalsRowDxfId="67"/>
  </tableColumns>
  <tableStyleInfo name="Table_1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311" displayName="Table311" ref="B22:H31" totalsRowCount="1" headerRowDxfId="66" dataDxfId="65" totalsRowDxfId="64">
  <autoFilter ref="B22:H30" xr:uid="{00000000-0009-0000-0100-00000A000000}"/>
  <tableColumns count="7">
    <tableColumn id="1" xr3:uid="{00000000-0010-0000-0600-000001000000}" name="C1/H1" totalsRowLabel="Total" dataDxfId="63" totalsRowDxfId="62"/>
    <tableColumn id="2" xr3:uid="{00000000-0010-0000-0600-000002000000}" name="H2" dataDxfId="61" totalsRowDxfId="60"/>
    <tableColumn id="3" xr3:uid="{00000000-0010-0000-0600-000003000000}" name="H3" dataDxfId="59" totalsRowDxfId="58"/>
    <tableColumn id="4" xr3:uid="{00000000-0010-0000-0600-000004000000}" name="H4" dataDxfId="57" totalsRowDxfId="56"/>
    <tableColumn id="5" xr3:uid="{00000000-0010-0000-0600-000005000000}" name="H5" dataDxfId="55" totalsRowDxfId="54"/>
    <tableColumn id="6" xr3:uid="{00000000-0010-0000-0600-000006000000}" name="H6" dataDxfId="53" totalsRowDxfId="52"/>
    <tableColumn id="7" xr3:uid="{00000000-0010-0000-0600-000007000000}" name="Htotal" totalsRowFunction="count" dataDxfId="51" totalsRowDxfId="50"/>
  </tableColumns>
  <tableStyleInfo name="Table_2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412" displayName="Table412" ref="B35:H44" totalsRowCount="1" headerRowDxfId="49" dataDxfId="47" totalsRowDxfId="45" headerRowBorderDxfId="48" tableBorderDxfId="46" totalsRowBorderDxfId="44">
  <autoFilter ref="B35:H43" xr:uid="{00000000-0009-0000-0100-00000B000000}"/>
  <tableColumns count="7">
    <tableColumn id="1" xr3:uid="{00000000-0010-0000-0700-000001000000}" name="C1/H1" totalsRowLabel="Total" dataDxfId="43" totalsRowDxfId="42"/>
    <tableColumn id="2" xr3:uid="{00000000-0010-0000-0700-000002000000}" name="H2" dataDxfId="41" totalsRowDxfId="40"/>
    <tableColumn id="3" xr3:uid="{00000000-0010-0000-0700-000003000000}" name="H3" dataDxfId="39" totalsRowDxfId="38"/>
    <tableColumn id="4" xr3:uid="{00000000-0010-0000-0700-000004000000}" name="H4" dataDxfId="37" totalsRowDxfId="36"/>
    <tableColumn id="5" xr3:uid="{00000000-0010-0000-0700-000005000000}" name="H5" dataDxfId="35" totalsRowDxfId="34"/>
    <tableColumn id="6" xr3:uid="{00000000-0010-0000-0700-000006000000}" name="H6" dataDxfId="33" totalsRowDxfId="32"/>
    <tableColumn id="7" xr3:uid="{00000000-0010-0000-0700-000007000000}" name="Htotal" totalsRowFunction="count" dataDxfId="31" totalsRowDxfId="30"/>
  </tableColumns>
  <tableStyleInfo name="Table_3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46" displayName="Table46" ref="B47:H56" totalsRowCount="1" headerRowDxfId="29" dataDxfId="27" totalsRowDxfId="25" headerRowBorderDxfId="28" tableBorderDxfId="26" totalsRowBorderDxfId="24">
  <autoFilter ref="B47:H55" xr:uid="{00000000-0009-0000-0100-00000C000000}"/>
  <tableColumns count="7">
    <tableColumn id="1" xr3:uid="{00000000-0010-0000-0800-000001000000}" name="C1/H1" totalsRowLabel="Total" dataDxfId="23" totalsRowDxfId="22"/>
    <tableColumn id="2" xr3:uid="{00000000-0010-0000-0800-000002000000}" name="H2" dataDxfId="21" totalsRowDxfId="20"/>
    <tableColumn id="3" xr3:uid="{00000000-0010-0000-0800-000003000000}" name="H3" dataDxfId="19" totalsRowDxfId="18"/>
    <tableColumn id="4" xr3:uid="{00000000-0010-0000-0800-000004000000}" name="H4" dataDxfId="17" totalsRowDxfId="16"/>
    <tableColumn id="5" xr3:uid="{00000000-0010-0000-0800-000005000000}" name="H5" dataDxfId="15" totalsRowDxfId="14"/>
    <tableColumn id="6" xr3:uid="{00000000-0010-0000-0800-000006000000}" name="H6" dataDxfId="13" totalsRowDxfId="12"/>
    <tableColumn id="7" xr3:uid="{00000000-0010-0000-0800-000007000000}" name="Htotal" totalsRowFunction="count" dataDxfId="11" totalsRowDxfId="10"/>
  </tableColumns>
  <tableStyleInfo name="Table_4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able614" displayName="Table614" ref="C60:G70" totalsRowShown="0" headerRowDxfId="9" dataDxfId="7" headerRowBorderDxfId="8" tableBorderDxfId="6" totalsRowBorderDxfId="5">
  <autoFilter ref="C60:G70" xr:uid="{00000000-0009-0000-0100-00000D000000}"/>
  <tableColumns count="5">
    <tableColumn id="1" xr3:uid="{00000000-0010-0000-0900-000001000000}" name="H1" dataDxfId="4"/>
    <tableColumn id="2" xr3:uid="{00000000-0010-0000-0900-000002000000}" name="H2" dataDxfId="3"/>
    <tableColumn id="3" xr3:uid="{00000000-0010-0000-0900-000003000000}" name="H3" dataDxfId="2"/>
    <tableColumn id="4" xr3:uid="{00000000-0010-0000-0900-000004000000}" name="H4" dataDxfId="1"/>
    <tableColumn id="5" xr3:uid="{00000000-0010-0000-0900-000005000000}" name="H5" dataDxfId="0"/>
  </tableColumns>
  <tableStyleInfo name="Table_1" showFirstColumn="0" showLastColumn="0" showRowStripes="1" showColumnStripes="0"/>
</table>
</file>

<file path=xl/theme/theme1.xml><?xml version="1.0" encoding="utf-8"?>
<a:theme xmlns:a="http://schemas.openxmlformats.org/drawingml/2006/main" name="ITR">
  <a:themeElements>
    <a:clrScheme name="ITR2">
      <a:dk1>
        <a:sysClr val="windowText" lastClr="000000"/>
      </a:dk1>
      <a:lt1>
        <a:sysClr val="window" lastClr="FFFFFF"/>
      </a:lt1>
      <a:dk2>
        <a:srgbClr val="5F497A"/>
      </a:dk2>
      <a:lt2>
        <a:srgbClr val="DED7E7"/>
      </a:lt2>
      <a:accent1>
        <a:srgbClr val="5F497A"/>
      </a:accent1>
      <a:accent2>
        <a:srgbClr val="F28855"/>
      </a:accent2>
      <a:accent3>
        <a:srgbClr val="0B3951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0070C0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1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F37"/>
  <sheetViews>
    <sheetView tabSelected="1" view="pageLayout" topLeftCell="A13" zoomScale="110" zoomScaleNormal="85" zoomScalePageLayoutView="110" workbookViewId="0">
      <selection activeCell="C36" sqref="C36"/>
    </sheetView>
  </sheetViews>
  <sheetFormatPr defaultColWidth="9.1640625" defaultRowHeight="15" x14ac:dyDescent="0.2"/>
  <cols>
    <col min="1" max="1" width="12" style="2" customWidth="1"/>
    <col min="2" max="2" width="17" style="2" customWidth="1"/>
    <col min="3" max="3" width="19.33203125" style="2" customWidth="1"/>
    <col min="4" max="4" width="65.33203125" style="2" customWidth="1"/>
    <col min="5" max="16384" width="9.1640625" style="2"/>
  </cols>
  <sheetData>
    <row r="1" spans="1:6" ht="26.25" x14ac:dyDescent="0.2">
      <c r="A1" s="71" t="s">
        <v>16</v>
      </c>
      <c r="B1" s="71"/>
      <c r="C1" s="71"/>
      <c r="D1" s="71"/>
    </row>
    <row r="2" spans="1:6" s="3" customFormat="1" ht="23.25" x14ac:dyDescent="0.2">
      <c r="A2" s="72" t="s">
        <v>64</v>
      </c>
      <c r="B2" s="72"/>
      <c r="C2" s="72"/>
      <c r="D2" s="72"/>
    </row>
    <row r="3" spans="1:6" x14ac:dyDescent="0.2">
      <c r="A3" s="64"/>
      <c r="B3" s="64"/>
      <c r="C3" s="64"/>
      <c r="D3" s="64"/>
    </row>
    <row r="4" spans="1:6" ht="15.75" x14ac:dyDescent="0.2">
      <c r="A4" s="73" t="s">
        <v>20</v>
      </c>
      <c r="B4" s="73"/>
      <c r="C4" s="73"/>
      <c r="D4" s="73"/>
    </row>
    <row r="5" spans="1:6" s="4" customFormat="1" ht="12.75" x14ac:dyDescent="0.2">
      <c r="A5" s="79" t="s">
        <v>86</v>
      </c>
      <c r="B5" s="79"/>
      <c r="C5" s="74" t="s">
        <v>88</v>
      </c>
      <c r="D5" s="75"/>
    </row>
    <row r="6" spans="1:6" s="4" customFormat="1" ht="12.75" x14ac:dyDescent="0.2">
      <c r="A6" s="79" t="s">
        <v>0</v>
      </c>
      <c r="B6" s="79"/>
      <c r="C6" s="76" t="s">
        <v>144</v>
      </c>
      <c r="D6" s="77"/>
      <c r="F6" s="60" t="s">
        <v>142</v>
      </c>
    </row>
    <row r="7" spans="1:6" s="4" customFormat="1" ht="12.75" x14ac:dyDescent="0.2">
      <c r="A7" s="79" t="s">
        <v>9</v>
      </c>
      <c r="B7" s="79"/>
      <c r="C7" s="78" t="s">
        <v>21</v>
      </c>
      <c r="D7" s="79"/>
    </row>
    <row r="8" spans="1:6" s="4" customFormat="1" ht="12.75" x14ac:dyDescent="0.2">
      <c r="A8" s="79" t="s">
        <v>8</v>
      </c>
      <c r="B8" s="79"/>
      <c r="C8" s="78" t="s">
        <v>27</v>
      </c>
      <c r="D8" s="79"/>
    </row>
    <row r="9" spans="1:6" s="4" customFormat="1" ht="12.75" x14ac:dyDescent="0.2">
      <c r="A9" s="79" t="s">
        <v>87</v>
      </c>
      <c r="B9" s="79"/>
      <c r="C9" s="76">
        <f>INDEX(Table1[#All],ROWS(Table1[#All]),2)</f>
        <v>43821</v>
      </c>
      <c r="D9" s="77"/>
      <c r="F9" s="60" t="s">
        <v>141</v>
      </c>
    </row>
    <row r="10" spans="1:6" s="4" customFormat="1" ht="12.75" x14ac:dyDescent="0.2">
      <c r="A10" s="66" t="s">
        <v>1</v>
      </c>
      <c r="B10" s="66"/>
      <c r="C10" s="65" t="s">
        <v>61</v>
      </c>
      <c r="D10" s="66"/>
    </row>
    <row r="11" spans="1:6" s="4" customFormat="1" ht="12.75" x14ac:dyDescent="0.2">
      <c r="A11" s="61"/>
      <c r="B11" s="61"/>
      <c r="C11" s="61"/>
      <c r="D11" s="61"/>
    </row>
    <row r="12" spans="1:6" ht="15.75" x14ac:dyDescent="0.2">
      <c r="A12" s="62" t="s">
        <v>23</v>
      </c>
      <c r="B12" s="62"/>
      <c r="C12" s="62"/>
      <c r="D12" s="62"/>
    </row>
    <row r="13" spans="1:6" x14ac:dyDescent="0.2">
      <c r="A13" s="63" t="s">
        <v>24</v>
      </c>
      <c r="B13" s="63"/>
      <c r="C13" s="63"/>
      <c r="D13" s="54" t="s">
        <v>119</v>
      </c>
    </row>
    <row r="14" spans="1:6" x14ac:dyDescent="0.2">
      <c r="A14" s="67" t="s">
        <v>10</v>
      </c>
      <c r="B14" s="67"/>
      <c r="C14" s="67"/>
      <c r="D14" s="53" t="s">
        <v>3</v>
      </c>
    </row>
    <row r="15" spans="1:6" s="4" customFormat="1" ht="12.75" x14ac:dyDescent="0.2">
      <c r="A15" s="61"/>
      <c r="B15" s="61"/>
      <c r="C15" s="61"/>
      <c r="D15" s="61"/>
    </row>
    <row r="16" spans="1:6" ht="15.75" x14ac:dyDescent="0.2">
      <c r="A16" s="62" t="s">
        <v>25</v>
      </c>
      <c r="B16" s="62"/>
      <c r="C16" s="62"/>
      <c r="D16" s="62"/>
    </row>
    <row r="17" spans="1:4" x14ac:dyDescent="0.2">
      <c r="A17" s="63" t="s">
        <v>11</v>
      </c>
      <c r="B17" s="63"/>
      <c r="C17" s="54" t="s">
        <v>2</v>
      </c>
      <c r="D17" s="54" t="s">
        <v>12</v>
      </c>
    </row>
    <row r="18" spans="1:4" x14ac:dyDescent="0.2">
      <c r="A18" s="68" t="s">
        <v>29</v>
      </c>
      <c r="B18" s="69"/>
      <c r="C18" s="1">
        <v>43662</v>
      </c>
      <c r="D18" s="41" t="s">
        <v>26</v>
      </c>
    </row>
    <row r="19" spans="1:4" x14ac:dyDescent="0.2">
      <c r="A19" s="70"/>
      <c r="B19" s="70"/>
      <c r="C19" s="70"/>
      <c r="D19" s="70"/>
    </row>
    <row r="20" spans="1:4" ht="15.75" x14ac:dyDescent="0.2">
      <c r="A20" s="62" t="s">
        <v>31</v>
      </c>
      <c r="B20" s="62"/>
      <c r="C20" s="62"/>
      <c r="D20" s="62"/>
    </row>
    <row r="21" spans="1:4" x14ac:dyDescent="0.2">
      <c r="A21" s="54" t="s">
        <v>6</v>
      </c>
      <c r="B21" s="54" t="s">
        <v>5</v>
      </c>
      <c r="C21" s="54" t="s">
        <v>7</v>
      </c>
      <c r="D21" s="54" t="s">
        <v>138</v>
      </c>
    </row>
    <row r="22" spans="1:4" ht="25.5" x14ac:dyDescent="0.2">
      <c r="A22" s="52" t="s">
        <v>84</v>
      </c>
      <c r="B22" s="52" t="s">
        <v>27</v>
      </c>
      <c r="C22" s="52" t="s">
        <v>13</v>
      </c>
      <c r="D22" s="42" t="s">
        <v>122</v>
      </c>
    </row>
    <row r="23" spans="1:4" ht="25.5" x14ac:dyDescent="0.2">
      <c r="A23" s="52" t="s">
        <v>10</v>
      </c>
      <c r="B23" s="52" t="s">
        <v>28</v>
      </c>
      <c r="C23" s="52" t="s">
        <v>14</v>
      </c>
      <c r="D23" s="42" t="s">
        <v>122</v>
      </c>
    </row>
    <row r="24" spans="1:4" x14ac:dyDescent="0.2">
      <c r="A24" s="64"/>
      <c r="B24" s="64"/>
      <c r="C24" s="64"/>
      <c r="D24" s="64"/>
    </row>
    <row r="25" spans="1:4" ht="15.75" x14ac:dyDescent="0.2">
      <c r="A25" s="62" t="s">
        <v>143</v>
      </c>
      <c r="B25" s="62"/>
      <c r="C25" s="62"/>
      <c r="D25" s="62"/>
    </row>
    <row r="26" spans="1:4" x14ac:dyDescent="0.2">
      <c r="A26" s="54" t="s">
        <v>0</v>
      </c>
      <c r="B26" s="54" t="s">
        <v>2</v>
      </c>
      <c r="C26" s="54" t="s">
        <v>4</v>
      </c>
      <c r="D26" s="54" t="s">
        <v>15</v>
      </c>
    </row>
    <row r="27" spans="1:4" x14ac:dyDescent="0.2">
      <c r="A27" s="51" t="s">
        <v>17</v>
      </c>
      <c r="B27" s="36">
        <v>43243</v>
      </c>
      <c r="C27" s="52" t="s">
        <v>10</v>
      </c>
      <c r="D27" s="52" t="s">
        <v>65</v>
      </c>
    </row>
    <row r="28" spans="1:4" x14ac:dyDescent="0.2">
      <c r="A28" s="58" t="s">
        <v>66</v>
      </c>
      <c r="B28" s="36">
        <v>43449</v>
      </c>
      <c r="C28" s="52" t="s">
        <v>10</v>
      </c>
      <c r="D28" s="50" t="s">
        <v>67</v>
      </c>
    </row>
    <row r="29" spans="1:4" ht="38.25" x14ac:dyDescent="0.2">
      <c r="A29" s="58" t="s">
        <v>83</v>
      </c>
      <c r="B29" s="36">
        <v>43488</v>
      </c>
      <c r="C29" s="52" t="s">
        <v>10</v>
      </c>
      <c r="D29" s="57" t="s">
        <v>85</v>
      </c>
    </row>
    <row r="30" spans="1:4" x14ac:dyDescent="0.2">
      <c r="A30" s="51" t="s">
        <v>89</v>
      </c>
      <c r="B30" s="36">
        <v>43539</v>
      </c>
      <c r="C30" s="52" t="s">
        <v>84</v>
      </c>
      <c r="D30" s="52" t="s">
        <v>90</v>
      </c>
    </row>
    <row r="31" spans="1:4" ht="38.25" x14ac:dyDescent="0.2">
      <c r="A31" s="59" t="s">
        <v>91</v>
      </c>
      <c r="B31" s="36">
        <v>43547</v>
      </c>
      <c r="C31" s="52" t="s">
        <v>10</v>
      </c>
      <c r="D31" s="52" t="s">
        <v>92</v>
      </c>
    </row>
    <row r="32" spans="1:4" x14ac:dyDescent="0.2">
      <c r="A32" s="51" t="s">
        <v>99</v>
      </c>
      <c r="B32" s="25">
        <v>43599</v>
      </c>
      <c r="C32" s="52" t="s">
        <v>10</v>
      </c>
      <c r="D32" s="52"/>
    </row>
    <row r="33" spans="1:4" ht="25.5" x14ac:dyDescent="0.2">
      <c r="A33" s="51" t="s">
        <v>105</v>
      </c>
      <c r="B33" s="25">
        <v>43662</v>
      </c>
      <c r="C33" s="52" t="s">
        <v>10</v>
      </c>
      <c r="D33" s="49" t="s">
        <v>120</v>
      </c>
    </row>
    <row r="34" spans="1:4" x14ac:dyDescent="0.2">
      <c r="A34" s="51" t="s">
        <v>136</v>
      </c>
      <c r="B34" s="25">
        <v>43797</v>
      </c>
      <c r="C34" s="52" t="s">
        <v>10</v>
      </c>
      <c r="D34" s="49" t="s">
        <v>135</v>
      </c>
    </row>
    <row r="35" spans="1:4" x14ac:dyDescent="0.2">
      <c r="A35" s="51" t="s">
        <v>136</v>
      </c>
      <c r="B35" s="25">
        <v>43503</v>
      </c>
      <c r="C35" s="52" t="s">
        <v>10</v>
      </c>
      <c r="D35" s="49" t="s">
        <v>137</v>
      </c>
    </row>
    <row r="36" spans="1:4" ht="38.25" x14ac:dyDescent="0.2">
      <c r="A36" s="51" t="s">
        <v>139</v>
      </c>
      <c r="B36" s="36">
        <v>43503</v>
      </c>
      <c r="C36" s="52" t="s">
        <v>10</v>
      </c>
      <c r="D36" s="49" t="s">
        <v>140</v>
      </c>
    </row>
    <row r="37" spans="1:4" x14ac:dyDescent="0.2">
      <c r="A37" s="90" t="s">
        <v>146</v>
      </c>
      <c r="B37" s="91">
        <v>43821</v>
      </c>
      <c r="C37" s="57" t="s">
        <v>10</v>
      </c>
      <c r="D37" s="92" t="s">
        <v>145</v>
      </c>
    </row>
  </sheetData>
  <mergeCells count="28">
    <mergeCell ref="A9:B9"/>
    <mergeCell ref="C9:D9"/>
    <mergeCell ref="A10:B10"/>
    <mergeCell ref="A6:B6"/>
    <mergeCell ref="C6:D6"/>
    <mergeCell ref="A7:B7"/>
    <mergeCell ref="C7:D7"/>
    <mergeCell ref="A8:B8"/>
    <mergeCell ref="C8:D8"/>
    <mergeCell ref="A1:D1"/>
    <mergeCell ref="A2:D2"/>
    <mergeCell ref="A3:D3"/>
    <mergeCell ref="A4:D4"/>
    <mergeCell ref="A5:B5"/>
    <mergeCell ref="C5:D5"/>
    <mergeCell ref="C10:D10"/>
    <mergeCell ref="A14:C14"/>
    <mergeCell ref="A15:D15"/>
    <mergeCell ref="A16:D16"/>
    <mergeCell ref="A17:B17"/>
    <mergeCell ref="A11:D11"/>
    <mergeCell ref="A12:D12"/>
    <mergeCell ref="A25:D25"/>
    <mergeCell ref="A13:C13"/>
    <mergeCell ref="A20:D20"/>
    <mergeCell ref="A24:D24"/>
    <mergeCell ref="A18:B18"/>
    <mergeCell ref="A19:D19"/>
  </mergeCells>
  <phoneticPr fontId="8" type="noConversion"/>
  <printOptions horizontalCentered="1"/>
  <pageMargins left="0.19685039370078741" right="0.19685039370078741" top="0.94488188976377963" bottom="0.74803149606299213" header="0.31496062992125984" footer="0.31496062992125984"/>
  <pageSetup paperSize="9" scale="72" fitToHeight="10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view="pageLayout" zoomScale="120" zoomScaleNormal="85" zoomScalePageLayoutView="120" workbookViewId="0">
      <selection activeCell="D36" sqref="D36"/>
    </sheetView>
  </sheetViews>
  <sheetFormatPr defaultColWidth="9.1640625" defaultRowHeight="15" x14ac:dyDescent="0.2"/>
  <cols>
    <col min="1" max="1" width="20.1640625" style="2" customWidth="1"/>
    <col min="2" max="2" width="47.83203125" style="2" customWidth="1"/>
    <col min="3" max="3" width="53.5" style="2" customWidth="1"/>
    <col min="4" max="16384" width="9.1640625" style="2"/>
  </cols>
  <sheetData>
    <row r="1" spans="1:4" ht="23.25" customHeight="1" x14ac:dyDescent="0.2">
      <c r="A1" s="26" t="s">
        <v>30</v>
      </c>
      <c r="B1" s="26" t="s">
        <v>18</v>
      </c>
      <c r="C1" s="26" t="s">
        <v>19</v>
      </c>
      <c r="D1" s="26" t="s">
        <v>98</v>
      </c>
    </row>
    <row r="2" spans="1:4" x14ac:dyDescent="0.2">
      <c r="A2" s="24" t="s">
        <v>94</v>
      </c>
      <c r="B2" s="23" t="s">
        <v>95</v>
      </c>
      <c r="C2" s="23"/>
      <c r="D2" s="23">
        <v>12</v>
      </c>
    </row>
    <row r="3" spans="1:4" x14ac:dyDescent="0.2">
      <c r="A3" s="23" t="s">
        <v>108</v>
      </c>
      <c r="B3" s="23" t="s">
        <v>96</v>
      </c>
      <c r="C3" s="23" t="s">
        <v>77</v>
      </c>
      <c r="D3" s="23">
        <v>12</v>
      </c>
    </row>
    <row r="4" spans="1:4" x14ac:dyDescent="0.2">
      <c r="A4" s="24" t="s">
        <v>93</v>
      </c>
      <c r="B4" s="23" t="s">
        <v>97</v>
      </c>
      <c r="C4" s="23" t="s">
        <v>77</v>
      </c>
      <c r="D4" s="23">
        <v>22</v>
      </c>
    </row>
    <row r="5" spans="1:4" x14ac:dyDescent="0.2">
      <c r="A5" s="23" t="s">
        <v>109</v>
      </c>
      <c r="B5" s="23" t="s">
        <v>107</v>
      </c>
      <c r="C5" s="23" t="s">
        <v>77</v>
      </c>
      <c r="D5" s="23">
        <v>2</v>
      </c>
    </row>
    <row r="6" spans="1:4" ht="25.5" x14ac:dyDescent="0.2">
      <c r="A6" s="24" t="s">
        <v>110</v>
      </c>
      <c r="B6" s="23" t="s">
        <v>111</v>
      </c>
      <c r="C6" s="23"/>
      <c r="D6" s="23">
        <v>1</v>
      </c>
    </row>
  </sheetData>
  <phoneticPr fontId="8" type="noConversion"/>
  <conditionalFormatting sqref="B2:B6">
    <cfRule type="cellIs" dxfId="88" priority="16" stopIfTrue="1" operator="equal">
      <formula>"Policy"</formula>
    </cfRule>
    <cfRule type="cellIs" dxfId="87" priority="17" stopIfTrue="1" operator="equal">
      <formula>"Procedure"</formula>
    </cfRule>
    <cfRule type="cellIs" dxfId="86" priority="18" stopIfTrue="1" operator="equal">
      <formula>"Standard"</formula>
    </cfRule>
  </conditionalFormatting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C14"/>
  <sheetViews>
    <sheetView view="pageLayout" zoomScale="140" zoomScaleNormal="85" zoomScalePageLayoutView="140" workbookViewId="0">
      <selection activeCell="B15" sqref="B15"/>
    </sheetView>
  </sheetViews>
  <sheetFormatPr defaultColWidth="9.1640625" defaultRowHeight="15" x14ac:dyDescent="0.2"/>
  <cols>
    <col min="1" max="1" width="20.1640625" style="2" customWidth="1"/>
    <col min="2" max="2" width="99.6640625" style="2" customWidth="1"/>
    <col min="3" max="3" width="53.5" style="2" customWidth="1"/>
    <col min="4" max="16384" width="9.1640625" style="2"/>
  </cols>
  <sheetData>
    <row r="1" spans="1:3" ht="21" x14ac:dyDescent="0.2">
      <c r="A1" s="33" t="s">
        <v>106</v>
      </c>
      <c r="B1" s="34"/>
      <c r="C1" s="32"/>
    </row>
    <row r="2" spans="1:3" ht="25.5" x14ac:dyDescent="0.2">
      <c r="A2" s="35">
        <v>1</v>
      </c>
      <c r="B2" s="38" t="s">
        <v>112</v>
      </c>
    </row>
    <row r="3" spans="1:3" x14ac:dyDescent="0.2">
      <c r="A3" s="35">
        <v>2</v>
      </c>
      <c r="B3" s="38" t="s">
        <v>114</v>
      </c>
    </row>
    <row r="4" spans="1:3" x14ac:dyDescent="0.2">
      <c r="A4" s="35">
        <v>3</v>
      </c>
      <c r="B4" s="38" t="s">
        <v>115</v>
      </c>
    </row>
    <row r="5" spans="1:3" ht="25.5" x14ac:dyDescent="0.2">
      <c r="A5" s="35">
        <v>4</v>
      </c>
      <c r="B5" s="38" t="s">
        <v>113</v>
      </c>
    </row>
    <row r="6" spans="1:3" x14ac:dyDescent="0.2">
      <c r="A6" s="35">
        <v>5</v>
      </c>
      <c r="B6" s="38" t="s">
        <v>116</v>
      </c>
    </row>
    <row r="7" spans="1:3" x14ac:dyDescent="0.2">
      <c r="A7" s="35">
        <v>6</v>
      </c>
      <c r="B7" s="38" t="s">
        <v>117</v>
      </c>
    </row>
    <row r="8" spans="1:3" ht="25.5" x14ac:dyDescent="0.2">
      <c r="A8" s="35">
        <v>7</v>
      </c>
      <c r="B8" s="38" t="s">
        <v>118</v>
      </c>
    </row>
    <row r="9" spans="1:3" x14ac:dyDescent="0.2">
      <c r="B9" s="23"/>
    </row>
    <row r="10" spans="1:3" ht="38.25" x14ac:dyDescent="0.2">
      <c r="A10" s="31" t="s">
        <v>100</v>
      </c>
      <c r="B10" s="23" t="s">
        <v>121</v>
      </c>
    </row>
    <row r="11" spans="1:3" ht="105" x14ac:dyDescent="0.2">
      <c r="B11" s="40" t="s">
        <v>101</v>
      </c>
    </row>
    <row r="12" spans="1:3" x14ac:dyDescent="0.2">
      <c r="A12" s="2" t="s">
        <v>102</v>
      </c>
      <c r="B12" s="37" t="b" cm="1">
        <f t="array" ref="B12">IsFilled(B12)</f>
        <v>1</v>
      </c>
    </row>
    <row r="13" spans="1:3" x14ac:dyDescent="0.2">
      <c r="A13" s="2" t="s">
        <v>103</v>
      </c>
      <c r="B13" s="43" t="b" cm="1">
        <f t="array" ref="B13">IsFilled(A13)</f>
        <v>0</v>
      </c>
    </row>
    <row r="14" spans="1:3" x14ac:dyDescent="0.2">
      <c r="B14" s="2" t="s">
        <v>104</v>
      </c>
    </row>
  </sheetData>
  <pageMargins left="0.19685039370078741" right="0.19685039370078741" top="0.94488188976377963" bottom="0.74803149606299213" header="0.31496062992125984" footer="0.31496062992125984"/>
  <pageSetup scale="84" orientation="landscape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0"/>
  <sheetViews>
    <sheetView view="pageLayout" topLeftCell="A34" zoomScale="130" zoomScaleNormal="85" zoomScalePageLayoutView="130" workbookViewId="0">
      <selection activeCell="D36" sqref="D36"/>
    </sheetView>
  </sheetViews>
  <sheetFormatPr defaultColWidth="9.1640625" defaultRowHeight="12.75" x14ac:dyDescent="0.2"/>
  <cols>
    <col min="1" max="1" width="9.6640625" style="47" customWidth="1"/>
    <col min="2" max="2" width="14" style="48" customWidth="1"/>
    <col min="3" max="3" width="11.83203125" style="46" customWidth="1"/>
    <col min="4" max="5" width="17.33203125" style="45" customWidth="1"/>
    <col min="6" max="6" width="17.1640625" style="45" customWidth="1"/>
    <col min="7" max="7" width="17.6640625" style="45" customWidth="1"/>
    <col min="8" max="8" width="28.33203125" style="45" customWidth="1"/>
    <col min="9" max="9" width="23.6640625" style="45" customWidth="1"/>
    <col min="10" max="10" width="27.1640625" style="45" customWidth="1"/>
    <col min="11" max="11" width="18.6640625" style="45" customWidth="1"/>
    <col min="12" max="12" width="12.6640625" style="45" customWidth="1"/>
    <col min="13" max="16384" width="9.1640625" style="45"/>
  </cols>
  <sheetData>
    <row r="1" spans="1:5" ht="15" x14ac:dyDescent="0.2">
      <c r="A1" s="82" t="s">
        <v>123</v>
      </c>
      <c r="B1" s="82"/>
      <c r="C1" s="82"/>
      <c r="D1" s="82"/>
      <c r="E1" s="82"/>
    </row>
    <row r="2" spans="1:5" ht="25.5" x14ac:dyDescent="0.2">
      <c r="A2" s="23" t="s">
        <v>62</v>
      </c>
      <c r="B2" s="23" t="s">
        <v>124</v>
      </c>
      <c r="C2" s="23" t="s">
        <v>125</v>
      </c>
      <c r="D2" s="23" t="s">
        <v>126</v>
      </c>
      <c r="E2" s="23" t="s">
        <v>127</v>
      </c>
    </row>
    <row r="3" spans="1:5" x14ac:dyDescent="0.2">
      <c r="A3" s="23"/>
      <c r="B3" s="23"/>
      <c r="C3" s="23"/>
      <c r="D3" s="23"/>
      <c r="E3" s="23"/>
    </row>
    <row r="4" spans="1:5" x14ac:dyDescent="0.2">
      <c r="A4" s="23"/>
      <c r="B4" s="23"/>
      <c r="C4" s="23"/>
      <c r="D4" s="23"/>
      <c r="E4" s="23"/>
    </row>
    <row r="5" spans="1:5" x14ac:dyDescent="0.2">
      <c r="A5" s="23"/>
      <c r="B5" s="23"/>
      <c r="C5" s="23"/>
      <c r="D5" s="23"/>
      <c r="E5" s="23"/>
    </row>
    <row r="6" spans="1:5" x14ac:dyDescent="0.2">
      <c r="A6" s="23"/>
      <c r="B6" s="23"/>
      <c r="C6" s="23"/>
      <c r="D6" s="23"/>
      <c r="E6" s="23"/>
    </row>
    <row r="7" spans="1:5" x14ac:dyDescent="0.2">
      <c r="A7" s="23" t="s">
        <v>22</v>
      </c>
      <c r="B7" s="23"/>
      <c r="C7" s="23"/>
      <c r="D7" s="23"/>
      <c r="E7" s="23">
        <f>SUBTOTAL(103,Table_B124[Column5])</f>
        <v>0</v>
      </c>
    </row>
    <row r="8" spans="1:5" x14ac:dyDescent="0.2">
      <c r="A8" s="23"/>
      <c r="B8" s="23"/>
      <c r="C8" s="23"/>
      <c r="D8" s="23"/>
      <c r="E8" s="23"/>
    </row>
    <row r="9" spans="1:5" ht="15.75" x14ac:dyDescent="0.2">
      <c r="A9" s="83" t="s">
        <v>128</v>
      </c>
      <c r="B9" s="83"/>
      <c r="C9" s="83"/>
      <c r="D9" s="83"/>
      <c r="E9" s="83"/>
    </row>
    <row r="10" spans="1:5" ht="25.5" x14ac:dyDescent="0.2">
      <c r="A10" s="23" t="s">
        <v>62</v>
      </c>
      <c r="B10" s="23" t="s">
        <v>124</v>
      </c>
      <c r="C10" s="23" t="s">
        <v>125</v>
      </c>
      <c r="D10" s="23" t="s">
        <v>126</v>
      </c>
      <c r="E10" s="23" t="s">
        <v>127</v>
      </c>
    </row>
    <row r="11" spans="1:5" x14ac:dyDescent="0.2">
      <c r="A11" s="23"/>
      <c r="B11" s="23"/>
      <c r="C11" s="23"/>
      <c r="D11" s="23"/>
      <c r="E11" s="23"/>
    </row>
    <row r="12" spans="1:5" x14ac:dyDescent="0.2">
      <c r="A12" s="23"/>
      <c r="B12" s="23"/>
      <c r="C12" s="23"/>
      <c r="D12" s="23"/>
      <c r="E12" s="23"/>
    </row>
    <row r="13" spans="1:5" x14ac:dyDescent="0.2">
      <c r="A13" s="23"/>
      <c r="B13" s="23"/>
      <c r="C13" s="23"/>
      <c r="D13" s="23"/>
      <c r="E13" s="23"/>
    </row>
    <row r="14" spans="1:5" x14ac:dyDescent="0.2">
      <c r="A14" s="23"/>
      <c r="B14" s="23"/>
      <c r="C14" s="23"/>
      <c r="D14" s="23"/>
      <c r="E14" s="23"/>
    </row>
    <row r="15" spans="1:5" x14ac:dyDescent="0.2">
      <c r="A15" s="23" t="s">
        <v>22</v>
      </c>
      <c r="B15" s="23"/>
      <c r="C15" s="23"/>
      <c r="D15" s="23"/>
      <c r="E15" s="23">
        <f>SUBTOTAL(103,Table_B222[Column5])</f>
        <v>0</v>
      </c>
    </row>
    <row r="16" spans="1:5" x14ac:dyDescent="0.2">
      <c r="A16" s="23"/>
      <c r="B16" s="23"/>
      <c r="C16" s="23"/>
      <c r="D16" s="23"/>
      <c r="E16" s="23"/>
    </row>
    <row r="17" spans="1:5" ht="15.75" x14ac:dyDescent="0.2">
      <c r="A17" s="84" t="s">
        <v>129</v>
      </c>
      <c r="B17" s="84"/>
      <c r="C17" s="84"/>
      <c r="D17" s="84"/>
      <c r="E17" s="84"/>
    </row>
    <row r="18" spans="1:5" ht="25.5" x14ac:dyDescent="0.2">
      <c r="A18" s="44" t="s">
        <v>62</v>
      </c>
      <c r="B18" s="44" t="s">
        <v>124</v>
      </c>
      <c r="C18" s="44" t="s">
        <v>125</v>
      </c>
      <c r="D18" s="44" t="s">
        <v>126</v>
      </c>
      <c r="E18" s="44" t="s">
        <v>127</v>
      </c>
    </row>
    <row r="19" spans="1:5" x14ac:dyDescent="0.2">
      <c r="A19" s="23"/>
      <c r="B19" s="23"/>
      <c r="C19" s="23"/>
      <c r="D19" s="23"/>
      <c r="E19" s="23"/>
    </row>
    <row r="20" spans="1:5" x14ac:dyDescent="0.2">
      <c r="A20" s="23"/>
      <c r="B20" s="23"/>
      <c r="C20" s="23"/>
      <c r="D20" s="23"/>
      <c r="E20" s="23"/>
    </row>
    <row r="21" spans="1:5" x14ac:dyDescent="0.2">
      <c r="A21" s="23"/>
      <c r="B21" s="23"/>
      <c r="C21" s="23"/>
      <c r="D21" s="23"/>
      <c r="E21" s="23"/>
    </row>
    <row r="22" spans="1:5" x14ac:dyDescent="0.2">
      <c r="A22" s="23"/>
      <c r="B22" s="23"/>
      <c r="C22" s="23"/>
      <c r="D22" s="23"/>
      <c r="E22" s="23"/>
    </row>
    <row r="23" spans="1:5" x14ac:dyDescent="0.2">
      <c r="A23" s="23" t="s">
        <v>22</v>
      </c>
      <c r="B23" s="23"/>
      <c r="C23" s="23"/>
      <c r="D23" s="23"/>
      <c r="E23" s="23">
        <f>SUBTOTAL(103,Table_117[Column5])</f>
        <v>0</v>
      </c>
    </row>
    <row r="24" spans="1:5" x14ac:dyDescent="0.2">
      <c r="A24" s="23"/>
      <c r="B24" s="23"/>
      <c r="C24" s="23"/>
      <c r="D24" s="23"/>
      <c r="E24" s="23"/>
    </row>
    <row r="25" spans="1:5" ht="15.75" x14ac:dyDescent="0.2">
      <c r="A25" s="85" t="s">
        <v>130</v>
      </c>
      <c r="B25" s="85"/>
      <c r="C25" s="85"/>
      <c r="D25" s="85"/>
      <c r="E25" s="85"/>
    </row>
    <row r="26" spans="1:5" ht="25.5" x14ac:dyDescent="0.2">
      <c r="A26" s="23" t="s">
        <v>62</v>
      </c>
      <c r="B26" s="23" t="s">
        <v>124</v>
      </c>
      <c r="C26" s="23" t="s">
        <v>125</v>
      </c>
      <c r="D26" s="23" t="s">
        <v>126</v>
      </c>
      <c r="E26" s="23" t="s">
        <v>127</v>
      </c>
    </row>
    <row r="27" spans="1:5" x14ac:dyDescent="0.2">
      <c r="A27" s="23"/>
      <c r="B27" s="23"/>
      <c r="C27" s="23"/>
      <c r="D27" s="23"/>
      <c r="E27" s="23"/>
    </row>
    <row r="28" spans="1:5" x14ac:dyDescent="0.2">
      <c r="A28" s="23"/>
      <c r="B28" s="23"/>
      <c r="C28" s="23"/>
      <c r="D28" s="23"/>
      <c r="E28" s="23"/>
    </row>
    <row r="29" spans="1:5" x14ac:dyDescent="0.2">
      <c r="A29" s="23"/>
      <c r="B29" s="23"/>
      <c r="C29" s="23"/>
      <c r="D29" s="23"/>
      <c r="E29" s="23"/>
    </row>
    <row r="30" spans="1:5" x14ac:dyDescent="0.2">
      <c r="A30" s="23" t="s">
        <v>22</v>
      </c>
      <c r="B30" s="23"/>
      <c r="C30" s="23"/>
      <c r="D30" s="23"/>
      <c r="E30" s="23">
        <f>SUBTOTAL(103,Table_218[Column5])</f>
        <v>0</v>
      </c>
    </row>
    <row r="31" spans="1:5" x14ac:dyDescent="0.2">
      <c r="A31" s="23"/>
      <c r="B31" s="23"/>
      <c r="C31" s="23"/>
      <c r="D31" s="23"/>
      <c r="E31" s="23"/>
    </row>
    <row r="32" spans="1:5" ht="15" x14ac:dyDescent="0.2">
      <c r="A32" s="86" t="s">
        <v>131</v>
      </c>
      <c r="B32" s="86"/>
      <c r="C32" s="86"/>
      <c r="D32" s="86"/>
      <c r="E32" s="86"/>
    </row>
    <row r="33" spans="1:5" ht="31.5" x14ac:dyDescent="0.2">
      <c r="A33" s="55" t="s">
        <v>62</v>
      </c>
      <c r="B33" s="23" t="s">
        <v>124</v>
      </c>
      <c r="C33" s="23" t="s">
        <v>125</v>
      </c>
      <c r="D33" s="56" t="s">
        <v>126</v>
      </c>
      <c r="E33" s="23" t="s">
        <v>127</v>
      </c>
    </row>
    <row r="34" spans="1:5" x14ac:dyDescent="0.2">
      <c r="A34" s="23"/>
      <c r="B34" s="23"/>
      <c r="C34" s="23"/>
      <c r="D34" s="23"/>
      <c r="E34" s="23"/>
    </row>
    <row r="35" spans="1:5" x14ac:dyDescent="0.2">
      <c r="A35" s="23"/>
      <c r="B35" s="23"/>
      <c r="C35" s="23"/>
      <c r="D35" s="23"/>
      <c r="E35" s="23"/>
    </row>
    <row r="36" spans="1:5" x14ac:dyDescent="0.2">
      <c r="A36" s="23"/>
      <c r="B36" s="23"/>
      <c r="C36" s="23"/>
      <c r="D36" s="23"/>
      <c r="E36" s="23"/>
    </row>
    <row r="37" spans="1:5" x14ac:dyDescent="0.2">
      <c r="A37" s="23" t="s">
        <v>22</v>
      </c>
      <c r="B37" s="23"/>
      <c r="C37" s="23"/>
      <c r="D37" s="23"/>
      <c r="E37" s="23">
        <f>SUBTOTAL(103,Table_319[Column5])</f>
        <v>0</v>
      </c>
    </row>
    <row r="38" spans="1:5" x14ac:dyDescent="0.2">
      <c r="A38" s="23"/>
      <c r="B38" s="23"/>
      <c r="C38" s="23"/>
      <c r="D38" s="23"/>
      <c r="E38" s="23"/>
    </row>
    <row r="39" spans="1:5" ht="15.75" x14ac:dyDescent="0.2">
      <c r="A39" s="87" t="s">
        <v>132</v>
      </c>
      <c r="B39" s="87"/>
      <c r="C39" s="87"/>
      <c r="D39" s="87"/>
      <c r="E39" s="87"/>
    </row>
    <row r="40" spans="1:5" ht="25.5" x14ac:dyDescent="0.2">
      <c r="A40" s="23" t="s">
        <v>62</v>
      </c>
      <c r="B40" s="23" t="s">
        <v>124</v>
      </c>
      <c r="C40" s="23" t="s">
        <v>125</v>
      </c>
      <c r="D40" s="23" t="s">
        <v>126</v>
      </c>
      <c r="E40" s="23" t="s">
        <v>127</v>
      </c>
    </row>
    <row r="41" spans="1:5" x14ac:dyDescent="0.2">
      <c r="A41" s="23"/>
      <c r="B41" s="23"/>
      <c r="C41" s="23"/>
      <c r="D41" s="23"/>
      <c r="E41" s="23"/>
    </row>
    <row r="42" spans="1:5" x14ac:dyDescent="0.2">
      <c r="A42" s="23"/>
      <c r="B42" s="23"/>
      <c r="C42" s="23"/>
      <c r="D42" s="23"/>
      <c r="E42" s="23"/>
    </row>
    <row r="43" spans="1:5" x14ac:dyDescent="0.2">
      <c r="A43" s="23"/>
      <c r="B43" s="23"/>
      <c r="C43" s="23"/>
      <c r="D43" s="23"/>
      <c r="E43" s="23"/>
    </row>
    <row r="44" spans="1:5" x14ac:dyDescent="0.2">
      <c r="A44" s="23" t="s">
        <v>22</v>
      </c>
      <c r="B44" s="23"/>
      <c r="C44" s="23"/>
      <c r="D44" s="23"/>
      <c r="E44" s="23">
        <f>SUBTOTAL(103,Table_420[Column5])</f>
        <v>0</v>
      </c>
    </row>
    <row r="45" spans="1:5" x14ac:dyDescent="0.2">
      <c r="A45" s="23"/>
      <c r="B45" s="23"/>
      <c r="C45" s="23"/>
      <c r="D45" s="23"/>
      <c r="E45" s="23"/>
    </row>
    <row r="46" spans="1:5" x14ac:dyDescent="0.2">
      <c r="A46" s="80" t="s">
        <v>133</v>
      </c>
      <c r="B46" s="80"/>
      <c r="C46" s="80"/>
      <c r="D46" s="80"/>
      <c r="E46" s="80"/>
    </row>
    <row r="47" spans="1:5" ht="25.5" x14ac:dyDescent="0.2">
      <c r="A47" s="23" t="s">
        <v>62</v>
      </c>
      <c r="B47" s="23" t="s">
        <v>124</v>
      </c>
      <c r="C47" s="23" t="s">
        <v>125</v>
      </c>
      <c r="D47" s="23" t="s">
        <v>126</v>
      </c>
      <c r="E47" s="23" t="s">
        <v>127</v>
      </c>
    </row>
    <row r="48" spans="1:5" x14ac:dyDescent="0.2">
      <c r="A48" s="23"/>
      <c r="B48" s="23"/>
      <c r="C48" s="23"/>
      <c r="D48" s="23"/>
      <c r="E48" s="23"/>
    </row>
    <row r="49" spans="1:5" x14ac:dyDescent="0.2">
      <c r="A49" s="23"/>
      <c r="B49" s="23"/>
      <c r="C49" s="23"/>
      <c r="D49" s="23"/>
      <c r="E49" s="23"/>
    </row>
    <row r="50" spans="1:5" x14ac:dyDescent="0.2">
      <c r="A50" s="23"/>
      <c r="B50" s="23"/>
      <c r="C50" s="23"/>
      <c r="D50" s="23"/>
      <c r="E50" s="23"/>
    </row>
    <row r="51" spans="1:5" x14ac:dyDescent="0.2">
      <c r="A51" s="23"/>
      <c r="B51" s="23"/>
      <c r="C51" s="23"/>
      <c r="D51" s="23"/>
      <c r="E51" s="23"/>
    </row>
    <row r="52" spans="1:5" x14ac:dyDescent="0.2">
      <c r="A52" s="23" t="s">
        <v>22</v>
      </c>
      <c r="B52" s="23"/>
      <c r="C52" s="23"/>
      <c r="D52" s="23"/>
      <c r="E52" s="23">
        <f>SUBTOTAL(103,Table_521[Column5])</f>
        <v>0</v>
      </c>
    </row>
    <row r="53" spans="1:5" x14ac:dyDescent="0.2">
      <c r="A53" s="23"/>
      <c r="B53" s="23"/>
      <c r="C53" s="23"/>
      <c r="D53" s="23"/>
      <c r="E53" s="23"/>
    </row>
    <row r="54" spans="1:5" x14ac:dyDescent="0.2">
      <c r="A54" s="81" t="s">
        <v>134</v>
      </c>
      <c r="B54" s="81"/>
      <c r="C54" s="81"/>
      <c r="D54" s="81"/>
      <c r="E54" s="81"/>
    </row>
    <row r="55" spans="1:5" ht="25.5" x14ac:dyDescent="0.2">
      <c r="A55" s="23" t="s">
        <v>62</v>
      </c>
      <c r="B55" s="23" t="s">
        <v>124</v>
      </c>
      <c r="C55" s="23" t="s">
        <v>125</v>
      </c>
      <c r="D55" s="23" t="s">
        <v>126</v>
      </c>
      <c r="E55" s="23" t="s">
        <v>127</v>
      </c>
    </row>
    <row r="56" spans="1:5" x14ac:dyDescent="0.2">
      <c r="A56" s="23"/>
      <c r="B56" s="23"/>
      <c r="C56" s="23"/>
      <c r="D56" s="23"/>
      <c r="E56" s="23"/>
    </row>
    <row r="57" spans="1:5" x14ac:dyDescent="0.2">
      <c r="A57" s="23"/>
      <c r="B57" s="23"/>
      <c r="C57" s="23"/>
      <c r="D57" s="23"/>
      <c r="E57" s="23"/>
    </row>
    <row r="58" spans="1:5" x14ac:dyDescent="0.2">
      <c r="A58" s="23"/>
      <c r="B58" s="23"/>
      <c r="C58" s="23"/>
      <c r="D58" s="23"/>
      <c r="E58" s="23"/>
    </row>
    <row r="59" spans="1:5" x14ac:dyDescent="0.2">
      <c r="A59" s="23"/>
      <c r="B59" s="23"/>
      <c r="C59" s="23"/>
      <c r="D59" s="23"/>
      <c r="E59" s="23"/>
    </row>
    <row r="60" spans="1:5" x14ac:dyDescent="0.2">
      <c r="A60" s="23" t="s">
        <v>22</v>
      </c>
      <c r="B60" s="23"/>
      <c r="C60" s="23"/>
      <c r="D60" s="23"/>
      <c r="E60" s="23">
        <f>SUBTOTAL(103,Table_623[Column5])</f>
        <v>0</v>
      </c>
    </row>
  </sheetData>
  <mergeCells count="8">
    <mergeCell ref="A46:E46"/>
    <mergeCell ref="A54:E54"/>
    <mergeCell ref="A1:E1"/>
    <mergeCell ref="A9:E9"/>
    <mergeCell ref="A17:E17"/>
    <mergeCell ref="A25:E25"/>
    <mergeCell ref="A32:E32"/>
    <mergeCell ref="A39:E39"/>
  </mergeCells>
  <pageMargins left="0.19685039370078741" right="0.19685039370078741" top="0.94488188976377963" bottom="0.74803149606299213" header="0.31496062992125984" footer="0.31496062992125984"/>
  <pageSetup scale="84" fitToHeight="10" orientation="landscape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view="pageLayout" zoomScaleNormal="100" workbookViewId="0">
      <selection activeCell="D36" sqref="D36"/>
    </sheetView>
  </sheetViews>
  <sheetFormatPr defaultRowHeight="11.25" x14ac:dyDescent="0.2"/>
  <cols>
    <col min="1" max="1" width="47" bestFit="1" customWidth="1"/>
    <col min="2" max="2" width="9.6640625" bestFit="1" customWidth="1"/>
    <col min="3" max="3" width="16.5" bestFit="1" customWidth="1"/>
    <col min="4" max="5" width="10.1640625" bestFit="1" customWidth="1"/>
    <col min="6" max="6" width="20.83203125" bestFit="1" customWidth="1"/>
    <col min="7" max="7" width="14.33203125" bestFit="1" customWidth="1"/>
  </cols>
  <sheetData>
    <row r="3" spans="1:3" x14ac:dyDescent="0.2">
      <c r="A3" s="27" t="s">
        <v>78</v>
      </c>
      <c r="B3" t="s">
        <v>81</v>
      </c>
      <c r="C3" t="s">
        <v>82</v>
      </c>
    </row>
    <row r="4" spans="1:3" x14ac:dyDescent="0.2">
      <c r="A4" s="28" t="s">
        <v>75</v>
      </c>
      <c r="B4">
        <v>34</v>
      </c>
      <c r="C4">
        <v>2</v>
      </c>
    </row>
    <row r="5" spans="1:3" x14ac:dyDescent="0.2">
      <c r="A5" s="29" t="s">
        <v>69</v>
      </c>
      <c r="B5">
        <v>12</v>
      </c>
      <c r="C5">
        <v>1</v>
      </c>
    </row>
    <row r="6" spans="1:3" x14ac:dyDescent="0.2">
      <c r="A6" s="30" t="s">
        <v>77</v>
      </c>
      <c r="B6">
        <v>12</v>
      </c>
      <c r="C6">
        <v>1</v>
      </c>
    </row>
    <row r="7" spans="1:3" x14ac:dyDescent="0.2">
      <c r="A7" s="29" t="s">
        <v>70</v>
      </c>
      <c r="B7">
        <v>22</v>
      </c>
      <c r="C7">
        <v>1</v>
      </c>
    </row>
    <row r="8" spans="1:3" x14ac:dyDescent="0.2">
      <c r="A8" s="30" t="s">
        <v>77</v>
      </c>
      <c r="B8">
        <v>22</v>
      </c>
      <c r="C8">
        <v>1</v>
      </c>
    </row>
    <row r="9" spans="1:3" x14ac:dyDescent="0.2">
      <c r="A9" s="28" t="s">
        <v>76</v>
      </c>
      <c r="B9">
        <v>216</v>
      </c>
      <c r="C9">
        <v>1</v>
      </c>
    </row>
    <row r="10" spans="1:3" x14ac:dyDescent="0.2">
      <c r="A10" s="29" t="s">
        <v>71</v>
      </c>
      <c r="B10">
        <v>2</v>
      </c>
      <c r="C10">
        <v>1</v>
      </c>
    </row>
    <row r="11" spans="1:3" x14ac:dyDescent="0.2">
      <c r="A11" s="30" t="s">
        <v>77</v>
      </c>
      <c r="B11">
        <v>2</v>
      </c>
      <c r="C11">
        <v>1</v>
      </c>
    </row>
    <row r="12" spans="1:3" x14ac:dyDescent="0.2">
      <c r="A12" s="29" t="s">
        <v>72</v>
      </c>
      <c r="B12">
        <v>1</v>
      </c>
    </row>
    <row r="13" spans="1:3" x14ac:dyDescent="0.2">
      <c r="A13" s="30" t="s">
        <v>80</v>
      </c>
      <c r="B13">
        <v>1</v>
      </c>
    </row>
    <row r="14" spans="1:3" x14ac:dyDescent="0.2">
      <c r="A14" s="29" t="s">
        <v>73</v>
      </c>
      <c r="B14">
        <v>1</v>
      </c>
    </row>
    <row r="15" spans="1:3" x14ac:dyDescent="0.2">
      <c r="A15" s="30" t="s">
        <v>80</v>
      </c>
      <c r="B15">
        <v>1</v>
      </c>
    </row>
    <row r="16" spans="1:3" x14ac:dyDescent="0.2">
      <c r="A16" s="29" t="s">
        <v>74</v>
      </c>
      <c r="B16">
        <v>212</v>
      </c>
    </row>
    <row r="17" spans="1:5" ht="15" x14ac:dyDescent="0.2">
      <c r="A17" s="30" t="s">
        <v>80</v>
      </c>
      <c r="B17">
        <v>212</v>
      </c>
      <c r="E17" s="39"/>
    </row>
    <row r="18" spans="1:5" x14ac:dyDescent="0.2">
      <c r="A18" s="28" t="s">
        <v>63</v>
      </c>
      <c r="B18">
        <v>12</v>
      </c>
    </row>
    <row r="19" spans="1:5" x14ac:dyDescent="0.2">
      <c r="A19" s="29" t="s">
        <v>68</v>
      </c>
      <c r="B19">
        <v>12</v>
      </c>
    </row>
    <row r="20" spans="1:5" x14ac:dyDescent="0.2">
      <c r="A20" s="30" t="s">
        <v>80</v>
      </c>
      <c r="B20">
        <v>12</v>
      </c>
    </row>
    <row r="21" spans="1:5" x14ac:dyDescent="0.2">
      <c r="A21" s="28" t="s">
        <v>79</v>
      </c>
      <c r="B21">
        <v>262</v>
      </c>
      <c r="C21">
        <v>3</v>
      </c>
    </row>
    <row r="23" spans="1:5" x14ac:dyDescent="0.2">
      <c r="A23" s="27" t="s">
        <v>78</v>
      </c>
      <c r="B23" s="27" t="s">
        <v>81</v>
      </c>
      <c r="C23" s="27" t="s">
        <v>82</v>
      </c>
    </row>
    <row r="24" spans="1:5" x14ac:dyDescent="0.2">
      <c r="A24" s="28" t="s">
        <v>75</v>
      </c>
      <c r="B24">
        <v>34</v>
      </c>
      <c r="C24">
        <v>2</v>
      </c>
    </row>
    <row r="25" spans="1:5" x14ac:dyDescent="0.2">
      <c r="A25" s="29" t="s">
        <v>69</v>
      </c>
      <c r="B25">
        <v>12</v>
      </c>
      <c r="C25">
        <v>1</v>
      </c>
    </row>
    <row r="26" spans="1:5" x14ac:dyDescent="0.2">
      <c r="A26" s="30" t="s">
        <v>77</v>
      </c>
      <c r="B26">
        <v>12</v>
      </c>
      <c r="C26">
        <v>1</v>
      </c>
    </row>
    <row r="27" spans="1:5" x14ac:dyDescent="0.2">
      <c r="A27" s="29" t="s">
        <v>70</v>
      </c>
      <c r="B27">
        <v>22</v>
      </c>
      <c r="C27">
        <v>1</v>
      </c>
    </row>
    <row r="28" spans="1:5" x14ac:dyDescent="0.2">
      <c r="A28" s="30" t="s">
        <v>77</v>
      </c>
      <c r="B28">
        <v>22</v>
      </c>
      <c r="C28">
        <v>1</v>
      </c>
    </row>
    <row r="29" spans="1:5" x14ac:dyDescent="0.2">
      <c r="A29" s="28" t="s">
        <v>76</v>
      </c>
      <c r="B29">
        <v>216</v>
      </c>
      <c r="C29">
        <v>1</v>
      </c>
    </row>
    <row r="30" spans="1:5" x14ac:dyDescent="0.2">
      <c r="A30" s="29" t="s">
        <v>71</v>
      </c>
      <c r="B30">
        <v>2</v>
      </c>
      <c r="C30">
        <v>1</v>
      </c>
    </row>
    <row r="31" spans="1:5" x14ac:dyDescent="0.2">
      <c r="A31" s="30" t="s">
        <v>77</v>
      </c>
      <c r="B31">
        <v>2</v>
      </c>
      <c r="C31">
        <v>1</v>
      </c>
    </row>
    <row r="32" spans="1:5" x14ac:dyDescent="0.2">
      <c r="A32" s="29" t="s">
        <v>72</v>
      </c>
      <c r="B32">
        <v>1</v>
      </c>
    </row>
    <row r="33" spans="1:3" x14ac:dyDescent="0.2">
      <c r="A33" s="30" t="s">
        <v>80</v>
      </c>
      <c r="B33">
        <v>1</v>
      </c>
    </row>
    <row r="34" spans="1:3" x14ac:dyDescent="0.2">
      <c r="A34" s="29" t="s">
        <v>73</v>
      </c>
      <c r="B34">
        <v>1</v>
      </c>
    </row>
    <row r="35" spans="1:3" x14ac:dyDescent="0.2">
      <c r="A35" s="30" t="s">
        <v>80</v>
      </c>
      <c r="B35">
        <v>1</v>
      </c>
    </row>
    <row r="36" spans="1:3" x14ac:dyDescent="0.2">
      <c r="A36" s="29" t="s">
        <v>74</v>
      </c>
      <c r="B36">
        <v>212</v>
      </c>
    </row>
    <row r="37" spans="1:3" x14ac:dyDescent="0.2">
      <c r="A37" s="30" t="s">
        <v>80</v>
      </c>
      <c r="B37">
        <v>212</v>
      </c>
    </row>
    <row r="38" spans="1:3" x14ac:dyDescent="0.2">
      <c r="A38" s="28" t="s">
        <v>63</v>
      </c>
      <c r="B38">
        <v>12</v>
      </c>
    </row>
    <row r="39" spans="1:3" x14ac:dyDescent="0.2">
      <c r="A39" s="29" t="s">
        <v>68</v>
      </c>
      <c r="B39">
        <v>12</v>
      </c>
    </row>
    <row r="40" spans="1:3" x14ac:dyDescent="0.2">
      <c r="A40" s="30" t="s">
        <v>80</v>
      </c>
      <c r="B40">
        <v>12</v>
      </c>
    </row>
    <row r="41" spans="1:3" x14ac:dyDescent="0.2">
      <c r="A41" s="28" t="s">
        <v>79</v>
      </c>
      <c r="B41">
        <v>262</v>
      </c>
      <c r="C41">
        <v>3</v>
      </c>
    </row>
  </sheetData>
  <pageMargins left="0.19685039370078741" right="0.19685039370078741" top="0.94488188976377963" bottom="0.74803149606299213" header="0.31496062992125984" footer="0.31496062992125984"/>
  <pageSetup paperSize="9" scale="84" orientation="portrait" r:id="rId3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0"/>
  <sheetViews>
    <sheetView view="pageLayout" zoomScale="85" zoomScaleNormal="100" zoomScalePageLayoutView="85" workbookViewId="0">
      <selection activeCell="A5" sqref="A5"/>
    </sheetView>
  </sheetViews>
  <sheetFormatPr defaultColWidth="9.33203125" defaultRowHeight="15" x14ac:dyDescent="0.2"/>
  <cols>
    <col min="1" max="1" width="53.5" style="2" customWidth="1"/>
    <col min="2" max="2" width="12.1640625" style="2" customWidth="1"/>
    <col min="3" max="4" width="8" style="2" customWidth="1"/>
    <col min="5" max="5" width="14" style="2" customWidth="1"/>
    <col min="6" max="6" width="13.83203125" style="2" customWidth="1"/>
    <col min="7" max="7" width="9.1640625" style="2" customWidth="1"/>
    <col min="8" max="8" width="13" style="2" customWidth="1"/>
    <col min="9" max="16384" width="9.33203125" style="2"/>
  </cols>
  <sheetData>
    <row r="1" spans="1:11" x14ac:dyDescent="0.2">
      <c r="A1" s="88" t="s">
        <v>32</v>
      </c>
      <c r="B1" s="88"/>
      <c r="C1" s="88"/>
      <c r="D1" s="88"/>
      <c r="E1" s="88"/>
      <c r="F1" s="88"/>
      <c r="G1" s="88"/>
      <c r="H1" s="88"/>
      <c r="I1" s="88"/>
      <c r="J1" s="88"/>
      <c r="K1" s="88"/>
    </row>
    <row r="3" spans="1:11" ht="21" x14ac:dyDescent="0.2">
      <c r="A3" s="89" t="s">
        <v>33</v>
      </c>
      <c r="B3" s="89"/>
      <c r="C3" s="89"/>
      <c r="D3" s="89"/>
      <c r="E3" s="89"/>
      <c r="F3" s="89"/>
      <c r="G3" s="89"/>
      <c r="H3" s="89"/>
      <c r="I3" s="89"/>
      <c r="J3" s="89"/>
      <c r="K3" s="89"/>
    </row>
    <row r="5" spans="1:11" x14ac:dyDescent="0.2">
      <c r="A5" s="5" t="s">
        <v>34</v>
      </c>
    </row>
    <row r="7" spans="1:11" x14ac:dyDescent="0.2">
      <c r="A7" s="5" t="s">
        <v>35</v>
      </c>
    </row>
    <row r="9" spans="1:11" ht="21" x14ac:dyDescent="0.2">
      <c r="B9" s="22" t="s">
        <v>36</v>
      </c>
      <c r="C9" s="2" t="s">
        <v>37</v>
      </c>
      <c r="D9" s="2" t="s">
        <v>38</v>
      </c>
      <c r="E9" s="2" t="s">
        <v>39</v>
      </c>
      <c r="F9" s="2" t="s">
        <v>40</v>
      </c>
      <c r="G9" s="2" t="s">
        <v>41</v>
      </c>
      <c r="H9" s="2" t="s">
        <v>42</v>
      </c>
    </row>
    <row r="10" spans="1:11" x14ac:dyDescent="0.2">
      <c r="B10" s="2" t="s">
        <v>43</v>
      </c>
      <c r="F10" s="5"/>
    </row>
    <row r="11" spans="1:11" x14ac:dyDescent="0.2">
      <c r="B11" s="2" t="s">
        <v>44</v>
      </c>
    </row>
    <row r="12" spans="1:11" x14ac:dyDescent="0.2">
      <c r="B12" s="2" t="s">
        <v>45</v>
      </c>
    </row>
    <row r="13" spans="1:11" x14ac:dyDescent="0.2">
      <c r="B13" s="2" t="s">
        <v>46</v>
      </c>
    </row>
    <row r="14" spans="1:11" x14ac:dyDescent="0.2">
      <c r="B14" s="2" t="s">
        <v>47</v>
      </c>
    </row>
    <row r="15" spans="1:11" x14ac:dyDescent="0.2">
      <c r="B15" s="2" t="s">
        <v>48</v>
      </c>
    </row>
    <row r="16" spans="1:11" x14ac:dyDescent="0.2">
      <c r="B16" s="2" t="s">
        <v>49</v>
      </c>
    </row>
    <row r="17" spans="1:8" x14ac:dyDescent="0.2">
      <c r="B17" s="2" t="s">
        <v>50</v>
      </c>
    </row>
    <row r="18" spans="1:8" x14ac:dyDescent="0.2">
      <c r="B18" s="2" t="s">
        <v>22</v>
      </c>
      <c r="H18" s="2">
        <f>SUBTOTAL(103,Table2[Htotal])</f>
        <v>0</v>
      </c>
    </row>
    <row r="20" spans="1:8" x14ac:dyDescent="0.2">
      <c r="A20" s="5" t="s">
        <v>51</v>
      </c>
    </row>
    <row r="22" spans="1:8" x14ac:dyDescent="0.2">
      <c r="B22" s="2" t="s">
        <v>36</v>
      </c>
      <c r="C22" s="2" t="s">
        <v>37</v>
      </c>
      <c r="D22" s="2" t="s">
        <v>38</v>
      </c>
      <c r="E22" s="2" t="s">
        <v>39</v>
      </c>
      <c r="F22" s="2" t="s">
        <v>40</v>
      </c>
      <c r="G22" s="2" t="s">
        <v>41</v>
      </c>
      <c r="H22" s="2" t="s">
        <v>42</v>
      </c>
    </row>
    <row r="23" spans="1:8" x14ac:dyDescent="0.2">
      <c r="B23" s="2" t="s">
        <v>43</v>
      </c>
    </row>
    <row r="24" spans="1:8" x14ac:dyDescent="0.2">
      <c r="B24" s="2" t="s">
        <v>44</v>
      </c>
    </row>
    <row r="25" spans="1:8" x14ac:dyDescent="0.2">
      <c r="B25" s="2" t="s">
        <v>45</v>
      </c>
    </row>
    <row r="26" spans="1:8" x14ac:dyDescent="0.2">
      <c r="B26" s="2" t="s">
        <v>46</v>
      </c>
    </row>
    <row r="27" spans="1:8" x14ac:dyDescent="0.2">
      <c r="B27" s="2" t="s">
        <v>47</v>
      </c>
    </row>
    <row r="28" spans="1:8" x14ac:dyDescent="0.2">
      <c r="B28" s="2" t="s">
        <v>48</v>
      </c>
    </row>
    <row r="29" spans="1:8" x14ac:dyDescent="0.2">
      <c r="B29" s="2" t="s">
        <v>49</v>
      </c>
    </row>
    <row r="30" spans="1:8" x14ac:dyDescent="0.2">
      <c r="B30" s="2" t="s">
        <v>50</v>
      </c>
    </row>
    <row r="31" spans="1:8" x14ac:dyDescent="0.2">
      <c r="B31" s="2" t="s">
        <v>22</v>
      </c>
      <c r="H31" s="2">
        <f>SUBTOTAL(103,Table311[Htotal])</f>
        <v>0</v>
      </c>
    </row>
    <row r="33" spans="1:8" x14ac:dyDescent="0.2">
      <c r="A33" s="5" t="s">
        <v>52</v>
      </c>
    </row>
    <row r="35" spans="1:8" x14ac:dyDescent="0.2">
      <c r="B35" s="6" t="s">
        <v>36</v>
      </c>
      <c r="C35" s="7" t="s">
        <v>37</v>
      </c>
      <c r="D35" s="7" t="s">
        <v>38</v>
      </c>
      <c r="E35" s="7" t="s">
        <v>39</v>
      </c>
      <c r="F35" s="7" t="s">
        <v>40</v>
      </c>
      <c r="G35" s="7" t="s">
        <v>41</v>
      </c>
      <c r="H35" s="8" t="s">
        <v>42</v>
      </c>
    </row>
    <row r="36" spans="1:8" x14ac:dyDescent="0.2">
      <c r="B36" s="9" t="s">
        <v>43</v>
      </c>
      <c r="C36" s="10"/>
      <c r="D36" s="10"/>
      <c r="E36" s="10"/>
      <c r="F36" s="10"/>
      <c r="G36" s="10"/>
      <c r="H36" s="11"/>
    </row>
    <row r="37" spans="1:8" x14ac:dyDescent="0.2">
      <c r="B37" s="9" t="s">
        <v>44</v>
      </c>
      <c r="C37" s="10"/>
      <c r="D37" s="10"/>
      <c r="E37" s="10"/>
      <c r="F37" s="10"/>
      <c r="G37" s="10"/>
      <c r="H37" s="11"/>
    </row>
    <row r="38" spans="1:8" x14ac:dyDescent="0.2">
      <c r="B38" s="9" t="s">
        <v>45</v>
      </c>
      <c r="C38" s="10"/>
      <c r="D38" s="10"/>
      <c r="E38" s="10"/>
      <c r="F38" s="10"/>
      <c r="G38" s="10"/>
      <c r="H38" s="11"/>
    </row>
    <row r="39" spans="1:8" x14ac:dyDescent="0.2">
      <c r="B39" s="9" t="s">
        <v>46</v>
      </c>
      <c r="C39" s="10"/>
      <c r="D39" s="10"/>
      <c r="E39" s="10"/>
      <c r="F39" s="10"/>
      <c r="G39" s="10"/>
      <c r="H39" s="11"/>
    </row>
    <row r="40" spans="1:8" x14ac:dyDescent="0.2">
      <c r="B40" s="9" t="s">
        <v>47</v>
      </c>
      <c r="C40" s="10"/>
      <c r="D40" s="10"/>
      <c r="E40" s="10"/>
      <c r="F40" s="10"/>
      <c r="G40" s="10"/>
      <c r="H40" s="11"/>
    </row>
    <row r="41" spans="1:8" x14ac:dyDescent="0.2">
      <c r="B41" s="9" t="s">
        <v>48</v>
      </c>
      <c r="C41" s="10"/>
      <c r="D41" s="10"/>
      <c r="E41" s="10"/>
      <c r="F41" s="10"/>
      <c r="G41" s="10"/>
      <c r="H41" s="11"/>
    </row>
    <row r="42" spans="1:8" x14ac:dyDescent="0.2">
      <c r="B42" s="9" t="s">
        <v>49</v>
      </c>
      <c r="C42" s="10"/>
      <c r="D42" s="10"/>
      <c r="E42" s="10"/>
      <c r="F42" s="10"/>
      <c r="G42" s="10"/>
      <c r="H42" s="11"/>
    </row>
    <row r="43" spans="1:8" x14ac:dyDescent="0.2">
      <c r="B43" s="9" t="s">
        <v>50</v>
      </c>
      <c r="C43" s="12"/>
      <c r="D43" s="12"/>
      <c r="E43" s="12"/>
      <c r="F43" s="12"/>
      <c r="G43" s="12"/>
      <c r="H43" s="13"/>
    </row>
    <row r="44" spans="1:8" x14ac:dyDescent="0.2">
      <c r="B44" s="14" t="s">
        <v>22</v>
      </c>
      <c r="C44" s="12"/>
      <c r="D44" s="12"/>
      <c r="E44" s="12"/>
      <c r="F44" s="12"/>
      <c r="G44" s="12"/>
      <c r="H44" s="13">
        <f>SUBTOTAL(103,Table412[Htotal])</f>
        <v>0</v>
      </c>
    </row>
    <row r="45" spans="1:8" x14ac:dyDescent="0.2">
      <c r="A45" s="5" t="s">
        <v>53</v>
      </c>
    </row>
    <row r="47" spans="1:8" x14ac:dyDescent="0.2">
      <c r="B47" s="6" t="s">
        <v>36</v>
      </c>
      <c r="C47" s="7" t="s">
        <v>37</v>
      </c>
      <c r="D47" s="7" t="s">
        <v>38</v>
      </c>
      <c r="E47" s="7" t="s">
        <v>39</v>
      </c>
      <c r="F47" s="7" t="s">
        <v>40</v>
      </c>
      <c r="G47" s="7" t="s">
        <v>41</v>
      </c>
      <c r="H47" s="8" t="s">
        <v>42</v>
      </c>
    </row>
    <row r="48" spans="1:8" x14ac:dyDescent="0.2">
      <c r="B48" s="9" t="s">
        <v>43</v>
      </c>
      <c r="C48" s="10"/>
      <c r="D48" s="10"/>
      <c r="E48" s="10"/>
      <c r="F48" s="10"/>
      <c r="G48" s="10"/>
      <c r="H48" s="11"/>
    </row>
    <row r="49" spans="1:8" x14ac:dyDescent="0.2">
      <c r="B49" s="9" t="s">
        <v>44</v>
      </c>
      <c r="C49" s="10"/>
      <c r="D49" s="10"/>
      <c r="E49" s="10"/>
      <c r="F49" s="10"/>
      <c r="G49" s="10"/>
      <c r="H49" s="11"/>
    </row>
    <row r="50" spans="1:8" x14ac:dyDescent="0.2">
      <c r="B50" s="9" t="s">
        <v>45</v>
      </c>
      <c r="C50" s="10"/>
      <c r="D50" s="10"/>
      <c r="E50" s="10"/>
      <c r="F50" s="10"/>
      <c r="G50" s="10"/>
      <c r="H50" s="11"/>
    </row>
    <row r="51" spans="1:8" x14ac:dyDescent="0.2">
      <c r="B51" s="9" t="s">
        <v>46</v>
      </c>
      <c r="C51" s="10"/>
      <c r="D51" s="10"/>
      <c r="E51" s="10"/>
      <c r="F51" s="10"/>
      <c r="G51" s="10"/>
      <c r="H51" s="11"/>
    </row>
    <row r="52" spans="1:8" x14ac:dyDescent="0.2">
      <c r="B52" s="9" t="s">
        <v>47</v>
      </c>
      <c r="C52" s="10"/>
      <c r="D52" s="10"/>
      <c r="E52" s="10"/>
      <c r="F52" s="10"/>
      <c r="G52" s="10"/>
      <c r="H52" s="11"/>
    </row>
    <row r="53" spans="1:8" x14ac:dyDescent="0.2">
      <c r="B53" s="9" t="s">
        <v>48</v>
      </c>
      <c r="C53" s="10"/>
      <c r="D53" s="10"/>
      <c r="E53" s="10"/>
      <c r="F53" s="10"/>
      <c r="G53" s="10"/>
      <c r="H53" s="11"/>
    </row>
    <row r="54" spans="1:8" x14ac:dyDescent="0.2">
      <c r="B54" s="9" t="s">
        <v>49</v>
      </c>
      <c r="C54" s="10"/>
      <c r="D54" s="10"/>
      <c r="E54" s="10"/>
      <c r="F54" s="10"/>
      <c r="G54" s="10"/>
      <c r="H54" s="11"/>
    </row>
    <row r="55" spans="1:8" x14ac:dyDescent="0.2">
      <c r="B55" s="9" t="s">
        <v>50</v>
      </c>
      <c r="C55" s="12"/>
      <c r="D55" s="12"/>
      <c r="E55" s="12"/>
      <c r="F55" s="12"/>
      <c r="G55" s="12"/>
      <c r="H55" s="13"/>
    </row>
    <row r="56" spans="1:8" x14ac:dyDescent="0.2">
      <c r="B56" s="14" t="s">
        <v>22</v>
      </c>
      <c r="C56" s="12"/>
      <c r="D56" s="12"/>
      <c r="E56" s="12"/>
      <c r="F56" s="12"/>
      <c r="G56" s="12"/>
      <c r="H56" s="13">
        <f>SUBTOTAL(103,Table46[Htotal])</f>
        <v>0</v>
      </c>
    </row>
    <row r="58" spans="1:8" ht="18.75" x14ac:dyDescent="0.2">
      <c r="A58" s="15" t="s">
        <v>54</v>
      </c>
    </row>
    <row r="60" spans="1:8" x14ac:dyDescent="0.2">
      <c r="C60" s="16" t="s">
        <v>55</v>
      </c>
      <c r="D60" s="17" t="s">
        <v>37</v>
      </c>
      <c r="E60" s="17" t="s">
        <v>38</v>
      </c>
      <c r="F60" s="17" t="s">
        <v>39</v>
      </c>
      <c r="G60" s="17" t="s">
        <v>40</v>
      </c>
    </row>
    <row r="61" spans="1:8" x14ac:dyDescent="0.2">
      <c r="C61" s="5" t="s">
        <v>56</v>
      </c>
      <c r="D61" s="5" t="s">
        <v>57</v>
      </c>
      <c r="E61" s="5" t="s">
        <v>58</v>
      </c>
      <c r="F61" s="18" t="s">
        <v>59</v>
      </c>
      <c r="G61" s="5" t="s">
        <v>60</v>
      </c>
    </row>
    <row r="62" spans="1:8" x14ac:dyDescent="0.2">
      <c r="C62" s="19"/>
      <c r="D62" s="5"/>
      <c r="E62" s="5"/>
      <c r="F62" s="18"/>
      <c r="G62" s="5"/>
    </row>
    <row r="63" spans="1:8" x14ac:dyDescent="0.2">
      <c r="C63" s="19"/>
      <c r="D63" s="5"/>
      <c r="E63" s="5"/>
      <c r="F63" s="18"/>
      <c r="G63" s="5"/>
    </row>
    <row r="64" spans="1:8" x14ac:dyDescent="0.2">
      <c r="C64" s="19"/>
      <c r="D64" s="5"/>
      <c r="E64" s="5"/>
      <c r="F64" s="18"/>
      <c r="G64" s="5"/>
    </row>
    <row r="65" spans="3:7" x14ac:dyDescent="0.2">
      <c r="C65" s="19"/>
      <c r="D65" s="5"/>
      <c r="E65" s="5"/>
      <c r="F65" s="18"/>
      <c r="G65" s="5"/>
    </row>
    <row r="66" spans="3:7" x14ac:dyDescent="0.2">
      <c r="C66" s="19"/>
      <c r="D66" s="5"/>
      <c r="E66" s="5"/>
      <c r="F66" s="18"/>
      <c r="G66" s="5"/>
    </row>
    <row r="67" spans="3:7" x14ac:dyDescent="0.2">
      <c r="C67" s="19"/>
      <c r="D67" s="5"/>
      <c r="E67" s="5"/>
      <c r="F67" s="18"/>
      <c r="G67" s="5"/>
    </row>
    <row r="68" spans="3:7" x14ac:dyDescent="0.2">
      <c r="C68" s="19"/>
      <c r="D68" s="5"/>
      <c r="E68" s="5"/>
      <c r="F68" s="18"/>
      <c r="G68" s="5"/>
    </row>
    <row r="69" spans="3:7" x14ac:dyDescent="0.2">
      <c r="C69" s="19"/>
      <c r="D69" s="5"/>
      <c r="E69" s="5"/>
      <c r="F69" s="18"/>
      <c r="G69" s="5"/>
    </row>
    <row r="70" spans="3:7" x14ac:dyDescent="0.2">
      <c r="C70" s="20"/>
      <c r="D70" s="5"/>
      <c r="E70" s="5"/>
      <c r="F70" s="21"/>
      <c r="G70" s="5"/>
    </row>
  </sheetData>
  <mergeCells count="2">
    <mergeCell ref="A1:K1"/>
    <mergeCell ref="A3:K3"/>
  </mergeCells>
  <pageMargins left="0.19791666666666666" right="0.19791666666666666" top="0.98958333333333337" bottom="0.78740157480314965" header="0" footer="0.19685039370078741"/>
  <pageSetup paperSize="9" scale="95" orientation="portrait" r:id="rId1"/>
  <headerFooter>
    <oddHeader xml:space="preserve">&amp;L&amp;8&amp;G&amp;R&amp;8&amp;K7030A0Type/Client:&amp;K000000 itrust consulting s.à r.l.&amp;K7030A0
 Project/Domain: &amp;K000000Name  &amp;K7030A0
 Title: &amp;K000000Title &amp;K7030A0
 Classification:&amp;K000000 Internal </oddHeader>
    <oddFooter>&amp;L&amp;8&amp;F&amp;C&amp;8&amp;D - &amp;T&amp;R&amp;8&amp;A - &amp;P/&amp;N</oddFooter>
  </headerFooter>
  <drawing r:id="rId2"/>
  <legacyDrawingHF r:id="rId3"/>
  <tableParts count="5"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Hist</vt:lpstr>
      <vt:lpstr>Structure</vt:lpstr>
      <vt:lpstr>Guide</vt:lpstr>
      <vt:lpstr>Table examples</vt:lpstr>
      <vt:lpstr>Pivot table example</vt:lpstr>
      <vt:lpstr>Example</vt:lpstr>
      <vt:lpstr>Example!Print_Area</vt:lpstr>
      <vt:lpstr>Guide!Print_Area</vt:lpstr>
      <vt:lpstr>Hist!Print_Area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Carlo Harpes</cp:lastModifiedBy>
  <cp:lastPrinted>2019-12-07T09:47:02Z</cp:lastPrinted>
  <dcterms:created xsi:type="dcterms:W3CDTF">2008-06-07T09:53:51Z</dcterms:created>
  <dcterms:modified xsi:type="dcterms:W3CDTF">2019-12-22T14:51:51Z</dcterms:modified>
</cp:coreProperties>
</file>