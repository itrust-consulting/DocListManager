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itrust\MG\ISMS\01_ITR-ISMS\STA_01-7-C_ITR-XlsTempl\"/>
    </mc:Choice>
  </mc:AlternateContent>
  <xr:revisionPtr revIDLastSave="0" documentId="13_ncr:1_{685CBF9F-D0C4-465B-8E71-FB028BA01E37}" xr6:coauthVersionLast="45" xr6:coauthVersionMax="45" xr10:uidLastSave="{00000000-0000-0000-0000-000000000000}"/>
  <bookViews>
    <workbookView xWindow="1290" yWindow="-120" windowWidth="27630" windowHeight="16440" tabRatio="733" activeTab="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  <sheet name="Example" sheetId="26" state="hidden" r:id="rId6"/>
  </sheets>
  <functionGroups builtInGroupCount="19"/>
  <definedNames>
    <definedName name="_xlcn.WorksheetConnection_STA_I173_ITRXlsTempl_v1.1.1cha.xlsmTable3" hidden="1">Table3[]</definedName>
    <definedName name="_xlnm.Print_Area" localSheetId="5">Example!$A$1:$K$71</definedName>
    <definedName name="_xlnm.Print_Area" localSheetId="2">Guide!$A$1:$E$35</definedName>
    <definedName name="_xlnm.Print_Area" localSheetId="0">Hist!$A$1:$D$31</definedName>
    <definedName name="_xlnm.Print_Area" localSheetId="3">'Table examples'!#REF!</definedName>
  </definedNames>
  <calcPr calcId="191029"/>
  <pivotCaches>
    <pivotCache cacheId="2" r:id="rId7"/>
    <pivotCache cacheId="3" r:id="rId8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5" i="34" l="1"/>
  <c r="C9" i="3" l="1"/>
  <c r="E65" i="34"/>
  <c r="E57" i="34"/>
  <c r="E37" i="34"/>
  <c r="E30" i="34"/>
  <c r="E23" i="34"/>
  <c r="E15" i="34"/>
  <c r="E7" i="34"/>
  <c r="H56" i="26"/>
  <c r="H44" i="26"/>
  <c r="H31" i="26"/>
  <c r="H18" i="26"/>
  <c r="B12" i="37" a="1"/>
  <c r="B13" i="37" a="1"/>
  <c r="B12" i="37"/>
  <c r="B13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<sst xmlns="http://schemas.openxmlformats.org/spreadsheetml/2006/main" count="339" uniqueCount="202">
  <si>
    <t>Version</t>
  </si>
  <si>
    <t>Classification</t>
  </si>
  <si>
    <t>Date</t>
  </si>
  <si>
    <t>Author</t>
  </si>
  <si>
    <t>Role</t>
  </si>
  <si>
    <t>Name</t>
  </si>
  <si>
    <t>Responsability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</si>
  <si>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</si>
  <si>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</si>
  <si>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</si>
  <si>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</si>
  <si>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</si>
  <si>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</si>
  <si>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</si>
  <si>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</si>
  <si>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</si>
  <si>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</si>
  <si>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</si>
  <si>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</si>
  <si>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</si>
  <si>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</si>
  <si>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</si>
  <si>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</si>
  <si>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</si>
  <si>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</si>
  <si>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</si>
  <si>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</si>
  <si>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</si>
  <si>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</si>
  <si>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</si>
  <si>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</si>
  <si>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</si>
  <si>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</si>
  <si>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</si>
  <si>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</si>
  <si>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</si>
  <si>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</si>
  <si>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</si>
  <si>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</si>
  <si>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</si>
  <si>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</si>
  <si>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</si>
  <si>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</si>
  <si>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</si>
  <si>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</si>
  <si>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</si>
  <si>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</si>
  <si>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</si>
  <si>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</si>
  <si>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</si>
  <si>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</si>
  <si>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</si>
  <si>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</si>
  <si>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</si>
  <si>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</si>
  <si>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</si>
  <si>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</si>
  <si>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</si>
  <si>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</si>
  <si>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</si>
  <si>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</si>
  <si>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</si>
  <si>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</si>
  <si>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</si>
  <si>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</si>
  <si>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</si>
  <si>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</si>
  <si>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</si>
  <si>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</si>
  <si>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</si>
  <si>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</si>
  <si>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</si>
  <si>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</si>
  <si>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I. Senft</t>
  </si>
  <si>
    <t>Reference</t>
  </si>
  <si>
    <t>Application date</t>
  </si>
  <si>
    <t>01-7-C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</si>
  <si>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</si>
  <si>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</si>
  <si>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</si>
  <si>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</si>
  <si>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</si>
  <si>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</si>
  <si>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</si>
  <si>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</si>
  <si>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</si>
  <si>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</si>
  <si>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</si>
  <si>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</si>
  <si>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</si>
  <si>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</si>
  <si>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</si>
  <si>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</si>
  <si>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</si>
  <si>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</si>
  <si>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</si>
  <si>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</si>
  <si>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</si>
  <si>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</si>
  <si>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See printed version 
managed by the CISO</t>
  </si>
  <si>
    <t>Style: Table_B1</t>
  </si>
  <si>
    <t>Column2</t>
  </si>
  <si>
    <t>Column3</t>
  </si>
  <si>
    <t>Column4</t>
  </si>
  <si>
    <t>Column5</t>
  </si>
  <si>
    <t>Style: Table_B2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</si>
  <si>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</si>
  <si>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</si>
  <si>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</si>
  <si>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</si>
  <si>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</si>
  <si>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</si>
  <si>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</si>
  <si>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</si>
  <si>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</si>
  <si>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</si>
  <si>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</si>
  <si>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M. Aubigny</t>
  </si>
  <si>
    <t>Use last Version in History, can be changed manuall if different</t>
  </si>
  <si>
    <t>No print area here; add lines before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</si>
  <si>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</si>
  <si>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</si>
  <si>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</si>
  <si>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</si>
  <si>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</si>
  <si>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</si>
  <si>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</si>
  <si>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</si>
  <si>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</si>
  <si>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</si>
  <si>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</si>
  <si>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</si>
  <si>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</si>
  <si>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</si>
  <si>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</si>
  <si>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</si>
  <si>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</si>
  <si>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</si>
  <si>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</si>
  <si>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</si>
  <si>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</si>
  <si>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</si>
  <si>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</si>
  <si>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</si>
  <si>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</si>
  <si>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</si>
  <si>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</si>
  <si>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</si>
  <si>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</si>
  <si>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</si>
  <si>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</si>
  <si>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</si>
  <si>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</si>
  <si>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</si>
  <si>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</si>
  <si>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</si>
  <si>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</si>
  <si>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</si>
  <si>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</si>
  <si>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</si>
  <si>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</si>
  <si>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</si>
  <si>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</si>
  <si>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</si>
  <si>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</si>
  <si>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</si>
  <si>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</si>
  <si>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</si>
  <si>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</si>
  <si>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</si>
  <si>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</si>
  <si>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</si>
  <si>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</si>
  <si>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</si>
  <si>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</si>
  <si>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</si>
  <si>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</si>
  <si>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</si>
  <si>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</si>
  <si>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</si>
  <si>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</si>
  <si>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</si>
  <si>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</si>
  <si>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</si>
  <si>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</si>
  <si>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</si>
  <si>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</si>
  <si>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</si>
  <si>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</si>
  <si>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</si>
  <si>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</si>
  <si>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1. Activate macros; 
2. Create: 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</si>
  <si>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</si>
  <si>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</si>
  <si>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</si>
  <si>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1.8.1</t>
  </si>
  <si>
    <t>Corrected styles to use Default (Body), not Heading. Change date format to dd.mm.yy</t>
  </si>
  <si>
    <t>Simplify Hist</t>
  </si>
  <si>
    <t>1.8.3</t>
  </si>
  <si>
    <t>Table_4</t>
  </si>
  <si>
    <t>1.9</t>
  </si>
  <si>
    <t>Align Tables with CGIE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</si>
</sst>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"/>
  </numFmts>
  <fonts count="23" x14ac:knownFonts="1">
    <font>
      <sz val="8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orbel"/>
      <family val="2"/>
      <scheme val="major"/>
    </font>
    <font>
      <b/>
      <sz val="11"/>
      <color theme="1"/>
      <name val="Corbel"/>
      <family val="2"/>
      <scheme val="major"/>
    </font>
    <font>
      <b/>
      <sz val="12"/>
      <color theme="1"/>
      <name val="Corbel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orbel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orbel"/>
      <family val="1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8">
    <xf numFmtId="0" fontId="0" fillId="0" borderId="0"/>
    <xf numFmtId="0" fontId="20" fillId="5" borderId="1" applyNumberFormat="0" applyProtection="0">
      <alignment horizontal="center" vertical="center"/>
    </xf>
    <xf numFmtId="0" fontId="12" fillId="4" borderId="1" applyNumberFormat="0" applyProtection="0">
      <alignment horizontal="center" vertical="center"/>
    </xf>
    <xf numFmtId="0" fontId="13" fillId="6" borderId="1" applyNumberFormat="0" applyProtection="0">
      <alignment horizontal="left" vertical="center" indent="1"/>
    </xf>
    <xf numFmtId="0" fontId="14" fillId="3" borderId="1" applyNumberFormat="0" applyProtection="0">
      <alignment horizontal="left" vertical="center" indent="1"/>
    </xf>
    <xf numFmtId="0" fontId="15" fillId="0" borderId="0" applyFill="0" applyBorder="0" applyProtection="0">
      <alignment horizontal="left" vertical="top" wrapText="1" indent="1"/>
    </xf>
    <xf numFmtId="0" fontId="10" fillId="0" borderId="0" applyNumberFormat="0" applyFill="0" applyBorder="0" applyAlignment="0" applyProtection="0"/>
    <xf numFmtId="0" fontId="11" fillId="0" borderId="11" applyNumberFormat="0" applyFill="0" applyAlignment="0" applyProtection="0"/>
    <xf numFmtId="165" fontId="15" fillId="0" borderId="2">
      <alignment horizontal="left" vertical="top" indent="1"/>
    </xf>
    <xf numFmtId="0" fontId="19" fillId="0" borderId="1">
      <alignment horizontal="right" wrapText="1" indent="1"/>
    </xf>
    <xf numFmtId="4" fontId="15" fillId="0" borderId="0">
      <alignment horizontal="right" vertical="top" wrapText="1" indent="1"/>
    </xf>
    <xf numFmtId="0" fontId="15" fillId="0" borderId="2">
      <alignment horizontal="left" vertical="top" indent="1"/>
    </xf>
    <xf numFmtId="0" fontId="21" fillId="16" borderId="15">
      <alignment horizontal="left" vertical="top" wrapText="1" indent="1"/>
    </xf>
    <xf numFmtId="0" fontId="22" fillId="14" borderId="16">
      <alignment horizontal="left" vertical="center" indent="1"/>
    </xf>
    <xf numFmtId="0" fontId="22" fillId="15" borderId="17">
      <alignment horizontal="left" vertical="center" indent="1"/>
    </xf>
    <xf numFmtId="0" fontId="18" fillId="11" borderId="19">
      <alignment horizontal="left" vertical="center" indent="1"/>
    </xf>
    <xf numFmtId="0" fontId="18" fillId="12" borderId="1">
      <alignment horizontal="left" vertical="center" indent="1"/>
    </xf>
    <xf numFmtId="0" fontId="18" fillId="17" borderId="20">
      <alignment horizontal="left" vertical="center" indent="1"/>
    </xf>
  </cellStyleXfs>
  <cellXfs count="92">
    <xf numFmtId="0" fontId="0" fillId="0" borderId="0" xfId="0"/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12" fillId="4" borderId="1" xfId="2" applyAlignment="1">
      <alignment vertical="center"/>
    </xf>
    <xf numFmtId="0" fontId="15" fillId="0" borderId="0" xfId="5">
      <alignment horizontal="left" vertical="top" wrapText="1" indent="1"/>
    </xf>
    <xf numFmtId="0" fontId="13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4" fillId="3" borderId="1" xfId="4" applyBorder="1">
      <alignment horizontal="left" vertical="center" indent="1"/>
    </xf>
    <xf numFmtId="165" fontId="15" fillId="0" borderId="2" xfId="8">
      <alignment horizontal="left" vertical="top" indent="1"/>
    </xf>
    <xf numFmtId="0" fontId="14" fillId="3" borderId="1" xfId="4">
      <alignment horizontal="left" vertical="center" indent="1"/>
    </xf>
    <xf numFmtId="0" fontId="15" fillId="0" borderId="1" xfId="5" applyBorder="1">
      <alignment horizontal="left" vertical="top" wrapText="1" indent="1"/>
    </xf>
    <xf numFmtId="0" fontId="15" fillId="0" borderId="0" xfId="5" applyAlignment="1">
      <alignment horizontal="left" vertical="top" indent="1"/>
    </xf>
    <xf numFmtId="0" fontId="15" fillId="0" borderId="0" xfId="5" applyAlignment="1">
      <alignment horizontal="left" vertical="top" wrapText="1" indent="1"/>
    </xf>
    <xf numFmtId="0" fontId="16" fillId="0" borderId="0" xfId="5" applyFont="1" applyAlignment="1">
      <alignment horizontal="left" vertical="top" indent="1"/>
    </xf>
    <xf numFmtId="0" fontId="16" fillId="0" borderId="0" xfId="5" applyFont="1" applyAlignment="1">
      <alignment horizontal="left" vertical="top" wrapText="1" indent="1"/>
    </xf>
    <xf numFmtId="0" fontId="15" fillId="0" borderId="2" xfId="5" applyBorder="1" applyAlignment="1">
      <alignment horizontal="left" vertical="top" wrapText="1" indent="1"/>
    </xf>
    <xf numFmtId="0" fontId="15" fillId="0" borderId="4" xfId="5" applyBorder="1">
      <alignment horizontal="left" vertical="top" wrapText="1" indent="1"/>
    </xf>
    <xf numFmtId="0" fontId="15" fillId="0" borderId="2" xfId="5" applyBorder="1">
      <alignment horizontal="left" vertical="top" wrapText="1" indent="1"/>
    </xf>
    <xf numFmtId="0" fontId="14" fillId="3" borderId="1" xfId="4">
      <alignment horizontal="left" vertical="center" indent="1"/>
    </xf>
    <xf numFmtId="0" fontId="18" fillId="0" borderId="0" xfId="5" applyFont="1">
      <alignment horizontal="left" vertical="top" wrapText="1" indent="1"/>
    </xf>
    <xf numFmtId="0" fontId="15" fillId="13" borderId="0" xfId="5" applyFill="1">
      <alignment horizontal="left" vertical="top" wrapText="1" indent="1"/>
    </xf>
    <xf numFmtId="0" fontId="2" fillId="0" borderId="0" xfId="0" applyFont="1" applyAlignment="1">
      <alignment vertical="center"/>
    </xf>
    <xf numFmtId="0" fontId="15" fillId="0" borderId="8" xfId="5" applyBorder="1">
      <alignment horizontal="left" vertical="top" wrapText="1" indent="1"/>
    </xf>
    <xf numFmtId="0" fontId="15" fillId="0" borderId="7" xfId="5" applyBorder="1" applyAlignment="1">
      <alignment horizontal="left" vertical="top" wrapText="1" indent="1"/>
    </xf>
    <xf numFmtId="0" fontId="14" fillId="3" borderId="1" xfId="4">
      <alignment horizontal="left" vertical="center" indent="1"/>
    </xf>
    <xf numFmtId="0" fontId="15" fillId="0" borderId="2" xfId="5" applyBorder="1">
      <alignment horizontal="left" vertical="top" wrapText="1" indent="1"/>
    </xf>
    <xf numFmtId="0" fontId="15" fillId="0" borderId="1" xfId="5" applyBorder="1">
      <alignment horizontal="left" vertical="top" wrapText="1" indent="1"/>
    </xf>
    <xf numFmtId="0" fontId="13" fillId="6" borderId="1" xfId="3" applyBorder="1">
      <alignment horizontal="left" vertical="center" indent="1"/>
    </xf>
    <xf numFmtId="0" fontId="15" fillId="0" borderId="7" xfId="5" applyBorder="1">
      <alignment horizontal="left" vertical="top" wrapText="1" indent="1"/>
    </xf>
    <xf numFmtId="0" fontId="3" fillId="7" borderId="14" xfId="0" applyFont="1" applyFill="1" applyBorder="1" applyAlignment="1">
      <alignment vertical="center"/>
    </xf>
    <xf numFmtId="0" fontId="3" fillId="8" borderId="14" xfId="0" applyFont="1" applyFill="1" applyBorder="1" applyAlignment="1">
      <alignment vertical="center"/>
    </xf>
    <xf numFmtId="0" fontId="1" fillId="0" borderId="14" xfId="0" applyFont="1" applyBorder="1" applyAlignment="1">
      <alignment vertical="center" wrapText="1"/>
    </xf>
    <xf numFmtId="0" fontId="14" fillId="3" borderId="1" xfId="4" applyAlignment="1">
      <alignment horizontal="left" vertical="center" wrapText="1" indent="1"/>
    </xf>
    <xf numFmtId="0" fontId="14" fillId="3" borderId="1" xfId="4">
      <alignment horizontal="left" vertical="center" indent="1"/>
    </xf>
    <xf numFmtId="0" fontId="15" fillId="0" borderId="2" xfId="5" applyBorder="1">
      <alignment horizontal="left" vertical="top" wrapText="1" indent="1"/>
    </xf>
    <xf numFmtId="0" fontId="15" fillId="0" borderId="7" xfId="5" applyBorder="1">
      <alignment horizontal="left" vertical="top" wrapText="1" indent="1"/>
    </xf>
    <xf numFmtId="0" fontId="15" fillId="0" borderId="2" xfId="11">
      <alignment horizontal="left" vertical="top" indent="1"/>
    </xf>
    <xf numFmtId="0" fontId="19" fillId="0" borderId="1" xfId="9">
      <alignment horizontal="right" wrapText="1" indent="1"/>
    </xf>
    <xf numFmtId="164" fontId="14" fillId="3" borderId="1" xfId="4" applyNumberFormat="1">
      <alignment horizontal="left" vertical="center" indent="1"/>
    </xf>
    <xf numFmtId="0" fontId="15" fillId="0" borderId="0" xfId="5" applyAlignment="1">
      <alignment horizontal="left" vertical="top" wrapText="1"/>
    </xf>
    <xf numFmtId="0" fontId="3" fillId="0" borderId="0" xfId="0" applyFont="1" applyAlignment="1">
      <alignment vertical="center" wrapText="1"/>
    </xf>
    <xf numFmtId="165" fontId="15" fillId="0" borderId="2" xfId="8">
      <alignment horizontal="left" vertical="top" indent="1"/>
    </xf>
    <xf numFmtId="165" fontId="15" fillId="0" borderId="2" xfId="8">
      <alignment horizontal="left" vertical="top" indent="1"/>
    </xf>
    <xf numFmtId="0" fontId="15" fillId="0" borderId="0" xfId="5" applyBorder="1">
      <alignment horizontal="left" vertical="top" wrapText="1" indent="1"/>
    </xf>
    <xf numFmtId="0" fontId="15" fillId="0" borderId="12" xfId="5" applyBorder="1">
      <alignment horizontal="left" vertical="top" wrapText="1" indent="1"/>
    </xf>
    <xf numFmtId="0" fontId="15" fillId="0" borderId="13" xfId="5" applyBorder="1">
      <alignment horizontal="left" vertical="top" wrapText="1" indent="1"/>
    </xf>
    <xf numFmtId="0" fontId="14" fillId="3" borderId="13" xfId="4" applyBorder="1" applyAlignment="1">
      <alignment horizontal="right" vertical="center" indent="1"/>
    </xf>
    <xf numFmtId="0" fontId="15" fillId="0" borderId="6" xfId="5" applyBorder="1">
      <alignment horizontal="left" vertical="top" wrapText="1" indent="1"/>
    </xf>
    <xf numFmtId="0" fontId="15" fillId="0" borderId="5" xfId="5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3" fillId="6" borderId="1" xfId="3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20" fillId="5" borderId="1" xfId="1" applyBorder="1">
      <alignment horizontal="center" vertical="center"/>
    </xf>
    <xf numFmtId="0" fontId="12" fillId="4" borderId="1" xfId="2" applyBorder="1">
      <alignment horizontal="center" vertical="center"/>
    </xf>
    <xf numFmtId="0" fontId="13" fillId="6" borderId="1" xfId="3" applyBorder="1">
      <alignment horizontal="left" vertical="center" indent="1"/>
    </xf>
    <xf numFmtId="0" fontId="14" fillId="3" borderId="10" xfId="4" applyBorder="1" applyAlignment="1">
      <alignment horizontal="right" vertical="center" indent="1"/>
    </xf>
    <xf numFmtId="0" fontId="15" fillId="0" borderId="2" xfId="5" applyBorder="1">
      <alignment horizontal="left" vertical="top" wrapText="1" indent="1"/>
    </xf>
    <xf numFmtId="165" fontId="15" fillId="0" borderId="2" xfId="8">
      <alignment horizontal="left" vertical="top" indent="1"/>
    </xf>
    <xf numFmtId="0" fontId="14" fillId="3" borderId="5" xfId="4" applyBorder="1" applyAlignment="1">
      <alignment horizontal="right" vertical="center" indent="1"/>
    </xf>
    <xf numFmtId="0" fontId="20" fillId="5" borderId="2" xfId="1" applyBorder="1" applyAlignment="1">
      <alignment horizontal="center" vertical="center"/>
    </xf>
    <xf numFmtId="0" fontId="20" fillId="5" borderId="4" xfId="1" applyBorder="1" applyAlignment="1">
      <alignment horizontal="center" vertical="center"/>
    </xf>
    <xf numFmtId="0" fontId="22" fillId="15" borderId="17" xfId="14">
      <alignment horizontal="left" vertical="center" indent="1"/>
    </xf>
    <xf numFmtId="0" fontId="21" fillId="16" borderId="15" xfId="12">
      <alignment horizontal="left" vertical="top" wrapText="1" indent="1"/>
    </xf>
    <xf numFmtId="0" fontId="17" fillId="9" borderId="1" xfId="5" applyFont="1" applyFill="1" applyBorder="1" applyAlignment="1">
      <alignment horizontal="left" vertical="center" wrapText="1" indent="1"/>
    </xf>
    <xf numFmtId="0" fontId="18" fillId="10" borderId="1" xfId="5" applyFont="1" applyFill="1" applyBorder="1">
      <alignment horizontal="left" vertical="top" wrapText="1" indent="1"/>
    </xf>
    <xf numFmtId="0" fontId="22" fillId="14" borderId="0" xfId="13" applyBorder="1">
      <alignment horizontal="left" vertical="center" indent="1"/>
    </xf>
    <xf numFmtId="0" fontId="18" fillId="11" borderId="18" xfId="15" applyBorder="1">
      <alignment horizontal="left" vertical="center" indent="1"/>
    </xf>
    <xf numFmtId="0" fontId="18" fillId="12" borderId="1" xfId="16">
      <alignment horizontal="left" vertical="center" indent="1"/>
    </xf>
    <xf numFmtId="0" fontId="18" fillId="17" borderId="20" xfId="17">
      <alignment horizontal="left" vertical="center" indent="1"/>
    </xf>
    <xf numFmtId="0" fontId="0" fillId="0" borderId="0" xfId="0" applyAlignment="1">
      <alignment horizontal="center" vertical="center"/>
    </xf>
    <xf numFmtId="0" fontId="12" fillId="2" borderId="1" xfId="2" applyFill="1">
      <alignment horizontal="center" vertical="center"/>
    </xf>
  </cellXfs>
  <cellStyles count="18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8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84"/>
      <tableStyleElement type="totalRow" dxfId="183"/>
      <tableStyleElement type="firstColumn" dxfId="182"/>
      <tableStyleElement type="lastColumn" dxfId="181"/>
      <tableStyleElement type="firstSubtotalColumn" dxfId="180"/>
      <tableStyleElement type="secondSubtotalColumn" dxfId="179"/>
      <tableStyleElement type="firstSubtotalRow" dxfId="178"/>
      <tableStyleElement type="secondSubtotalRow" dxfId="177"/>
      <tableStyleElement type="firstColumnSubheading" dxfId="176"/>
      <tableStyleElement type="secondColumnSubheading" dxfId="175"/>
      <tableStyleElement type="firstRowSubheading" dxfId="174"/>
      <tableStyleElement type="secondRowSubheading" dxfId="173"/>
      <tableStyleElement type="thirdRowSubheading" dxfId="172"/>
      <tableStyleElement type="pageFieldLabels" dxfId="171"/>
    </tableStyle>
    <tableStyle name="PivotTable_2" table="0" count="14" xr9:uid="{98FAD84F-B566-4FA3-AD06-8E8BA71A9B10}">
      <tableStyleElement type="headerRow" dxfId="170"/>
      <tableStyleElement type="totalRow" dxfId="169"/>
      <tableStyleElement type="firstColumn" dxfId="168"/>
      <tableStyleElement type="lastColumn" dxfId="167"/>
      <tableStyleElement type="firstSubtotalColumn" dxfId="166"/>
      <tableStyleElement type="secondSubtotalColumn" dxfId="165"/>
      <tableStyleElement type="firstSubtotalRow" dxfId="164"/>
      <tableStyleElement type="secondSubtotalRow" dxfId="163"/>
      <tableStyleElement type="firstColumnSubheading" dxfId="162"/>
      <tableStyleElement type="secondColumnSubheading" dxfId="161"/>
      <tableStyleElement type="firstRowSubheading" dxfId="160"/>
      <tableStyleElement type="secondRowSubheading" dxfId="159"/>
      <tableStyleElement type="thirdRowSubheading" dxfId="158"/>
      <tableStyleElement type="pageFieldLabels" dxfId="157"/>
    </tableStyle>
    <tableStyle name="Table_1" pivot="0" count="7" xr9:uid="{00000000-0011-0000-FFFF-FFFF04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secondRowStripe" dxfId="1"/>
      <tableStyleElement type="firstColumnStripe" dxfId="0"/>
    </tableStyle>
    <tableStyle name="Table_2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secondRowStripe" dxfId="8"/>
      <tableStyleElement type="firstColumnStripe" dxfId="7"/>
    </tableStyle>
    <tableStyle name="Table_3" pivot="0" count="7" xr9:uid="{00000000-0011-0000-FFFF-FFFF01000000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secondRowStripe" dxfId="15"/>
      <tableStyleElement type="firstColumnStripe" dxfId="14"/>
    </tableStyle>
    <tableStyle name="Table_4" pivot="0" count="9" xr9:uid="{0C0AE644-A081-4FE0-BFB2-E01EC15AADD2}">
      <tableStyleElement type="wholeTable" dxfId="156"/>
      <tableStyleElement type="headerRow" dxfId="155"/>
      <tableStyleElement type="totalRow" dxfId="154"/>
      <tableStyleElement type="firstColumn" dxfId="153"/>
      <tableStyleElement type="la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Table_5" pivot="0" count="7" xr9:uid="{288A2F39-F8C3-41A8-8C0A-250B6EDA9266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secondRowStripe" dxfId="142"/>
      <tableStyleElement type="firstColumnStripe" dxfId="141"/>
    </tableStyle>
    <tableStyle name="Table_6" pivot="0" count="7" xr9:uid="{92679619-5CE3-4163-A09C-BE8399647A9B}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secondRowStripe" dxfId="135"/>
      <tableStyleElement type="firstColumnStripe" dxfId="134"/>
    </tableStyle>
    <tableStyle name="Table_B1" pivot="0" count="8" xr9:uid="{D25C43D6-AF28-4C9B-8C2A-602AEEF2492E}">
      <tableStyleElement type="wholeTable" dxfId="133"/>
      <tableStyleElement type="headerRow" dxfId="132"/>
      <tableStyleElement type="totalRow" dxfId="131"/>
      <tableStyleElement type="firstColumn" dxfId="130"/>
      <tableStyleElement type="lastColumn" dxfId="129"/>
      <tableStyleElement type="secondRowStripe" dxfId="128"/>
      <tableStyleElement type="firstColumnStripe" dxfId="127"/>
      <tableStyleElement type="secondColumnStripe" dxfId="126"/>
    </tableStyle>
    <tableStyle name="Table_B2" pivot="0" count="8" xr9:uid="{5B5A6AAA-A4F0-4B53-A8ED-7DD903B2BB95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secondRowStripe" dxfId="120"/>
      <tableStyleElement type="firstColumnStripe" dxfId="119"/>
      <tableStyleElement type="secondColumnStripe" dxfId="1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9:D25" totalsRowShown="0" tableBorderDxfId="117" totalsRowBorderDxfId="116" headerRowCellStyle="Heading 4">
  <autoFilter ref="A19:D25" xr:uid="{DA53C3ED-75C2-4120-8DA7-F55F0FDEA131}"/>
  <tableColumns count="4">
    <tableColumn id="1" xr3:uid="{20333092-3320-4F4E-8B50-C3164A702ECA}" name="Version" dataDxfId="115" dataCellStyle="Cell-Normal"/>
    <tableColumn id="2" xr3:uid="{C4BF1A7A-5343-4ED3-B424-F1E933EE432F}" name="Date" dataCellStyle="Date"/>
    <tableColumn id="3" xr3:uid="{681AA722-74A6-4306-8999-B4E50BAAA429}" name="Author" dataDxfId="114" dataCellStyle="Cell-Normal"/>
    <tableColumn id="4" xr3:uid="{8522AC1F-D7AD-44E7-8FE7-7BF2C67B35A1}" name="Change management" dataDxfId="113" dataCellStyle="Cell-Normal"/>
  </tableColumns>
  <tableStyleInfo name="Table_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106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2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2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18:E23" totalsRowCount="1" headerRowDxfId="105" headerRowCellStyle="Cell-Normal" dataCellStyle="Cell-Normal" totalsRowCellStyle="Cell-Normal">
  <autoFilter ref="A18:E22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26:E30" totalsRowCount="1" headerRowCellStyle="Cell-Normal" dataCellStyle="Cell-Normal" totalsRowCellStyle="Cell-Normal">
  <autoFilter ref="A26:E29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33:E37" totalsRowCount="1" headerRowCellStyle="Cell-Normal" dataCellStyle="Cell-Normal" totalsRowCellStyle="Cell-Normal">
  <autoFilter ref="A33:E36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52:E57" totalsRowCount="1" headerRowCellStyle="Cell-Normal" dataCellStyle="Cell-Normal" totalsRowCellStyle="Cell-Normal">
  <autoFilter ref="A52:E56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A10:E15" totalsRowCount="1" headerRowCellStyle="Cell-Normal" dataCellStyle="Cell-Normal" totalsRowCellStyle="Cell-Normal">
  <autoFilter ref="A10:E14" xr:uid="{5317D78D-F95E-425D-92EB-6B5E44C1F543}"/>
  <tableColumns count="5">
    <tableColumn id="1" xr3:uid="{C8634700-9AFB-453E-8F5C-D7F057A8A3C5}" name="Column1" totalsRowLabel="Total" dataCellStyle="Cell-Normal" totalsRowCellStyle="Cell-Normal"/>
    <tableColumn id="2" xr3:uid="{66443FBD-41AF-4B89-A386-A2771CFDAF23}" name="Column2" dataCellStyle="Cell-Normal" totalsRowCellStyle="Cell-Normal"/>
    <tableColumn id="3" xr3:uid="{62F7A6A0-964E-405E-8E4E-8798822B93C0}" name="Column3" dataCellStyle="Cell-Normal" totalsRowCellStyle="Cell-Normal"/>
    <tableColumn id="4" xr3:uid="{7D710518-CDFE-4A24-9BCC-43FCFEDCD002}" name="Column4" dataCellStyle="Cell-Normal" totalsRowCellStyle="Cell-Normal"/>
    <tableColumn id="5" xr3:uid="{5F22A5D8-B584-4A9A-B2D7-6E4FDBBF9736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60:E65" totalsRowCount="1" headerRowCellStyle="Cell-Normal" dataCellStyle="Cell-Normal" totalsRowCellStyle="Cell-Normal">
  <autoFilter ref="A60:E64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A2:E7" totalsRowCount="1" headerRowCellStyle="Cell-Normal" dataCellStyle="Cell-Normal" totalsRowCellStyle="Cell-Normal">
  <autoFilter ref="A2:E6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40:E45" totalsRowCount="1" headerRowCellStyle="Cell-Normal" dataCellStyle="Cell-Normal" totalsRowCellStyle="Cell-Normal">
  <autoFilter ref="A40:E44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104" dataDxfId="103" totalsRowDxfId="102">
  <autoFilter ref="B9:H17" xr:uid="{00000000-0009-0000-0100-000005000000}"/>
  <tableColumns count="7">
    <tableColumn id="1" xr3:uid="{00000000-0010-0000-0500-000001000000}" name="C1/H1" totalsRowLabel="Total" dataDxfId="101" totalsRowDxfId="100"/>
    <tableColumn id="2" xr3:uid="{00000000-0010-0000-0500-000002000000}" name="H2" dataDxfId="99" totalsRowDxfId="98"/>
    <tableColumn id="3" xr3:uid="{00000000-0010-0000-0500-000003000000}" name="H3" dataDxfId="97" totalsRowDxfId="96"/>
    <tableColumn id="4" xr3:uid="{00000000-0010-0000-0500-000004000000}" name="H4" dataDxfId="95" totalsRowDxfId="94"/>
    <tableColumn id="5" xr3:uid="{00000000-0010-0000-0500-000005000000}" name="H5" dataDxfId="93" totalsRowDxfId="92"/>
    <tableColumn id="6" xr3:uid="{00000000-0010-0000-0500-000006000000}" name="H6" dataDxfId="91" totalsRowDxfId="90"/>
    <tableColumn id="7" xr3:uid="{00000000-0010-0000-0500-000007000000}" name="Htotal" totalsRowFunction="count" dataDxfId="89" totalsRowDxfId="88"/>
  </tableColumns>
  <tableStyleInfo name="Table_1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87" dataDxfId="86" totalsRowDxfId="85">
  <autoFilter ref="B22:H30" xr:uid="{00000000-0009-0000-0100-00000A000000}"/>
  <tableColumns count="7">
    <tableColumn id="1" xr3:uid="{00000000-0010-0000-0600-000001000000}" name="C1/H1" totalsRowLabel="Total" dataDxfId="84" totalsRowDxfId="83"/>
    <tableColumn id="2" xr3:uid="{00000000-0010-0000-0600-000002000000}" name="H2" dataDxfId="82" totalsRowDxfId="81"/>
    <tableColumn id="3" xr3:uid="{00000000-0010-0000-0600-000003000000}" name="H3" dataDxfId="80" totalsRowDxfId="79"/>
    <tableColumn id="4" xr3:uid="{00000000-0010-0000-0600-000004000000}" name="H4" dataDxfId="78" totalsRowDxfId="77"/>
    <tableColumn id="5" xr3:uid="{00000000-0010-0000-0600-000005000000}" name="H5" dataDxfId="76" totalsRowDxfId="75"/>
    <tableColumn id="6" xr3:uid="{00000000-0010-0000-0600-000006000000}" name="H6" dataDxfId="74" totalsRowDxfId="73"/>
    <tableColumn id="7" xr3:uid="{00000000-0010-0000-0600-000007000000}" name="Htotal" totalsRowFunction="count" dataDxfId="72" totalsRowDxfId="71"/>
  </tableColumns>
  <tableStyleInfo name="Table_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70" dataDxfId="68" totalsRowDxfId="66" headerRowBorderDxfId="69" tableBorderDxfId="67" totalsRowBorderDxfId="65">
  <autoFilter ref="B35:H43" xr:uid="{00000000-0009-0000-0100-00000B000000}"/>
  <tableColumns count="7">
    <tableColumn id="1" xr3:uid="{00000000-0010-0000-0700-000001000000}" name="C1/H1" totalsRowLabel="Total" dataDxfId="64" totalsRowDxfId="63"/>
    <tableColumn id="2" xr3:uid="{00000000-0010-0000-0700-000002000000}" name="H2" dataDxfId="62" totalsRowDxfId="61"/>
    <tableColumn id="3" xr3:uid="{00000000-0010-0000-0700-000003000000}" name="H3" dataDxfId="60" totalsRowDxfId="59"/>
    <tableColumn id="4" xr3:uid="{00000000-0010-0000-0700-000004000000}" name="H4" dataDxfId="58" totalsRowDxfId="57"/>
    <tableColumn id="5" xr3:uid="{00000000-0010-0000-0700-000005000000}" name="H5" dataDxfId="56" totalsRowDxfId="55"/>
    <tableColumn id="6" xr3:uid="{00000000-0010-0000-0700-000006000000}" name="H6" dataDxfId="54" totalsRowDxfId="53"/>
    <tableColumn id="7" xr3:uid="{00000000-0010-0000-0700-000007000000}" name="Htotal" totalsRowFunction="count" dataDxfId="52" totalsRowDxfId="51"/>
  </tableColumns>
  <tableStyleInfo name="Table_3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50" dataDxfId="48" totalsRowDxfId="46" headerRowBorderDxfId="49" tableBorderDxfId="47" totalsRowBorderDxfId="45">
  <autoFilter ref="B47:H55" xr:uid="{00000000-0009-0000-0100-00000C000000}"/>
  <tableColumns count="7">
    <tableColumn id="1" xr3:uid="{00000000-0010-0000-0800-000001000000}" name="C1/H1" totalsRowLabel="Total" dataDxfId="44" totalsRowDxfId="43"/>
    <tableColumn id="2" xr3:uid="{00000000-0010-0000-0800-000002000000}" name="H2" dataDxfId="42" totalsRowDxfId="41"/>
    <tableColumn id="3" xr3:uid="{00000000-0010-0000-0800-000003000000}" name="H3" dataDxfId="40" totalsRowDxfId="39"/>
    <tableColumn id="4" xr3:uid="{00000000-0010-0000-0800-000004000000}" name="H4" dataDxfId="38" totalsRowDxfId="37"/>
    <tableColumn id="5" xr3:uid="{00000000-0010-0000-0800-000005000000}" name="H5" dataDxfId="36" totalsRowDxfId="35"/>
    <tableColumn id="6" xr3:uid="{00000000-0010-0000-0800-000006000000}" name="H6" dataDxfId="34" totalsRowDxfId="33"/>
    <tableColumn id="7" xr3:uid="{00000000-0010-0000-0800-000007000000}" name="Htotal" totalsRowFunction="count" dataDxfId="32" totalsRowDxfId="31"/>
  </tableColumns>
  <tableStyleInfo name="Table_1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30" dataDxfId="28" headerRowBorderDxfId="29" tableBorderDxfId="27" totalsRowBorderDxfId="26">
  <autoFilter ref="C60:G70" xr:uid="{00000000-0009-0000-0100-00000D000000}"/>
  <tableColumns count="5">
    <tableColumn id="1" xr3:uid="{00000000-0010-0000-0900-000001000000}" name="H1" dataDxfId="25"/>
    <tableColumn id="2" xr3:uid="{00000000-0010-0000-0900-000002000000}" name="H2" dataDxfId="24"/>
    <tableColumn id="3" xr3:uid="{00000000-0010-0000-0900-000003000000}" name="H3" dataDxfId="23"/>
    <tableColumn id="4" xr3:uid="{00000000-0010-0000-0900-000004000000}" name="H4" dataDxfId="22"/>
    <tableColumn id="5" xr3:uid="{00000000-0010-0000-0900-000005000000}" name="H5" dataDxfId="21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2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1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F32"/>
  <sheetViews>
    <sheetView view="pageLayout" zoomScale="110" zoomScaleNormal="85" zoomScalePageLayoutView="110" workbookViewId="0">
      <selection activeCell="C7" sqref="C7:D7"/>
    </sheetView>
  </sheetViews>
  <sheetFormatPr defaultColWidth="9.1640625" defaultRowHeight="15" x14ac:dyDescent="0.2"/>
  <cols>
    <col min="1" max="1" width="14" style="1" customWidth="1"/>
    <col min="2" max="2" width="12.33203125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6" ht="23.25" x14ac:dyDescent="0.2">
      <c r="A1" s="73" t="s">
        <v>13</v>
      </c>
      <c r="B1" s="73"/>
      <c r="C1" s="73"/>
      <c r="D1" s="73"/>
    </row>
    <row r="2" spans="1:6" s="2" customFormat="1" ht="23.25" x14ac:dyDescent="0.2">
      <c r="A2" s="74" t="s">
        <v>56</v>
      </c>
      <c r="B2" s="74"/>
      <c r="C2" s="74"/>
      <c r="D2" s="74"/>
    </row>
    <row r="3" spans="1:6" x14ac:dyDescent="0.2">
      <c r="A3" s="72"/>
      <c r="B3" s="72"/>
      <c r="C3" s="72"/>
      <c r="D3" s="72"/>
    </row>
    <row r="4" spans="1:6" ht="15.75" x14ac:dyDescent="0.2">
      <c r="A4" s="75" t="s">
        <v>17</v>
      </c>
      <c r="B4" s="75"/>
      <c r="C4" s="75"/>
      <c r="D4" s="75"/>
    </row>
    <row r="5" spans="1:6" s="3" customFormat="1" x14ac:dyDescent="0.2">
      <c r="A5" s="76" t="s">
        <v>74</v>
      </c>
      <c r="B5" s="76"/>
      <c r="C5" s="77" t="s">
        <v>76</v>
      </c>
      <c r="D5" s="77"/>
    </row>
    <row r="6" spans="1:6" s="3" customFormat="1" x14ac:dyDescent="0.2">
      <c r="A6" s="67" t="s">
        <v>0</v>
      </c>
      <c r="B6" s="67"/>
      <c r="C6" s="65" t="s">
        <v>200</v>
      </c>
      <c r="D6" s="66"/>
      <c r="F6" s="42" t="s">
        <v>118</v>
      </c>
    </row>
    <row r="7" spans="1:6" s="3" customFormat="1" x14ac:dyDescent="0.2">
      <c r="A7" s="67" t="s">
        <v>8</v>
      </c>
      <c r="B7" s="67"/>
      <c r="C7" s="65" t="s">
        <v>18</v>
      </c>
      <c r="D7" s="66"/>
    </row>
    <row r="8" spans="1:6" s="3" customFormat="1" x14ac:dyDescent="0.2">
      <c r="A8" s="67" t="s">
        <v>7</v>
      </c>
      <c r="B8" s="67"/>
      <c r="C8" s="65" t="s">
        <v>20</v>
      </c>
      <c r="D8" s="66"/>
    </row>
    <row r="9" spans="1:6" s="3" customFormat="1" x14ac:dyDescent="0.2">
      <c r="A9" s="67" t="s">
        <v>75</v>
      </c>
      <c r="B9" s="67"/>
      <c r="C9" s="78">
        <f>INDEX(Table1[#All],ROWS(Table1[#All]),2)</f>
        <v>43875</v>
      </c>
      <c r="D9" s="78"/>
      <c r="F9" s="42" t="s">
        <v>118</v>
      </c>
    </row>
    <row r="10" spans="1:6" s="3" customFormat="1" x14ac:dyDescent="0.2">
      <c r="A10" s="79" t="s">
        <v>1</v>
      </c>
      <c r="B10" s="79"/>
      <c r="C10" s="68" t="s">
        <v>53</v>
      </c>
      <c r="D10" s="69"/>
    </row>
    <row r="11" spans="1:6" s="3" customFormat="1" ht="12.75" x14ac:dyDescent="0.2">
      <c r="A11" s="70"/>
      <c r="B11" s="70"/>
      <c r="C11" s="70"/>
      <c r="D11" s="70"/>
    </row>
    <row r="12" spans="1:6" ht="15.75" x14ac:dyDescent="0.2">
      <c r="A12" s="71" t="s">
        <v>23</v>
      </c>
      <c r="B12" s="71"/>
      <c r="C12" s="71"/>
      <c r="D12" s="71"/>
    </row>
    <row r="13" spans="1:6" x14ac:dyDescent="0.2">
      <c r="A13" s="39" t="s">
        <v>5</v>
      </c>
      <c r="B13" s="39" t="s">
        <v>4</v>
      </c>
      <c r="C13" s="39" t="s">
        <v>6</v>
      </c>
      <c r="D13" s="39" t="s">
        <v>111</v>
      </c>
    </row>
    <row r="14" spans="1:6" ht="24" x14ac:dyDescent="0.2">
      <c r="A14" s="38" t="s">
        <v>73</v>
      </c>
      <c r="B14" s="38" t="s">
        <v>20</v>
      </c>
      <c r="C14" s="38" t="s">
        <v>10</v>
      </c>
      <c r="D14" s="58" t="s">
        <v>99</v>
      </c>
    </row>
    <row r="15" spans="1:6" ht="25.5" x14ac:dyDescent="0.2">
      <c r="A15" s="46" t="s">
        <v>117</v>
      </c>
      <c r="B15" s="55" t="s">
        <v>116</v>
      </c>
      <c r="C15" s="46" t="s">
        <v>10</v>
      </c>
      <c r="D15" s="58" t="s">
        <v>99</v>
      </c>
    </row>
    <row r="16" spans="1:6" ht="25.5" x14ac:dyDescent="0.2">
      <c r="A16" s="38" t="s">
        <v>9</v>
      </c>
      <c r="B16" s="38" t="s">
        <v>21</v>
      </c>
      <c r="C16" s="38" t="s">
        <v>11</v>
      </c>
      <c r="D16" s="58" t="s">
        <v>99</v>
      </c>
    </row>
    <row r="17" spans="1:4" x14ac:dyDescent="0.2">
      <c r="A17" s="72"/>
      <c r="B17" s="72"/>
      <c r="C17" s="72"/>
      <c r="D17" s="72"/>
    </row>
    <row r="18" spans="1:4" ht="15.75" x14ac:dyDescent="0.2">
      <c r="A18" s="71" t="s">
        <v>114</v>
      </c>
      <c r="B18" s="71"/>
      <c r="C18" s="71"/>
      <c r="D18" s="71"/>
    </row>
    <row r="19" spans="1:4" x14ac:dyDescent="0.2">
      <c r="A19" s="39" t="s">
        <v>0</v>
      </c>
      <c r="B19" s="39" t="s">
        <v>2</v>
      </c>
      <c r="C19" s="39" t="s">
        <v>3</v>
      </c>
      <c r="D19" s="39" t="s">
        <v>12</v>
      </c>
    </row>
    <row r="20" spans="1:4" x14ac:dyDescent="0.2">
      <c r="A20" s="37" t="s">
        <v>14</v>
      </c>
      <c r="B20" s="29">
        <v>43243</v>
      </c>
      <c r="C20" s="38" t="s">
        <v>9</v>
      </c>
      <c r="D20" s="38" t="s">
        <v>57</v>
      </c>
    </row>
    <row r="21" spans="1:4" ht="38.25" x14ac:dyDescent="0.2">
      <c r="A21" s="37" t="s">
        <v>112</v>
      </c>
      <c r="B21" s="29">
        <v>43503</v>
      </c>
      <c r="C21" s="38" t="s">
        <v>9</v>
      </c>
      <c r="D21" s="36" t="s">
        <v>113</v>
      </c>
    </row>
    <row r="22" spans="1:4" x14ac:dyDescent="0.2">
      <c r="A22" s="43" t="s">
        <v>115</v>
      </c>
      <c r="B22" s="29">
        <v>43841</v>
      </c>
      <c r="C22" s="56" t="s">
        <v>9</v>
      </c>
      <c r="D22" s="44" t="s">
        <v>120</v>
      </c>
    </row>
    <row r="23" spans="1:4" ht="25.5" x14ac:dyDescent="0.2">
      <c r="A23" s="43" t="s">
        <v>195</v>
      </c>
      <c r="B23" s="62">
        <v>43846</v>
      </c>
      <c r="C23" s="56" t="s">
        <v>9</v>
      </c>
      <c r="D23" s="44" t="s">
        <v>196</v>
      </c>
    </row>
    <row r="24" spans="1:4" x14ac:dyDescent="0.2">
      <c r="A24" s="43" t="s">
        <v>198</v>
      </c>
      <c r="B24" s="63">
        <v>43872</v>
      </c>
      <c r="C24" s="56" t="s">
        <v>9</v>
      </c>
      <c r="D24" s="44" t="s">
        <v>197</v>
      </c>
    </row>
    <row r="25" spans="1:4" x14ac:dyDescent="0.2">
      <c r="A25" s="43" t="s">
        <v>200</v>
      </c>
      <c r="B25" s="29">
        <v>43875</v>
      </c>
      <c r="C25" s="49" t="s">
        <v>9</v>
      </c>
      <c r="D25" s="44" t="s">
        <v>201</v>
      </c>
    </row>
    <row r="32" spans="1:4" x14ac:dyDescent="0.2">
      <c r="A32" s="1" t="s">
        <v>119</v>
      </c>
    </row>
  </sheetData>
  <mergeCells count="20">
    <mergeCell ref="A18:D18"/>
    <mergeCell ref="A12:D12"/>
    <mergeCell ref="A17:D17"/>
    <mergeCell ref="A1:D1"/>
    <mergeCell ref="A2:D2"/>
    <mergeCell ref="A3:D3"/>
    <mergeCell ref="A4:D4"/>
    <mergeCell ref="A5:B5"/>
    <mergeCell ref="C5:D5"/>
    <mergeCell ref="A9:B9"/>
    <mergeCell ref="C9:D9"/>
    <mergeCell ref="A10:B10"/>
    <mergeCell ref="A6:B6"/>
    <mergeCell ref="C6:D6"/>
    <mergeCell ref="A7:B7"/>
    <mergeCell ref="C7:D7"/>
    <mergeCell ref="A8:B8"/>
    <mergeCell ref="C8:D8"/>
    <mergeCell ref="C10:D10"/>
    <mergeCell ref="A11:D11"/>
  </mergeCells>
  <phoneticPr fontId="8" type="noConversion"/>
  <printOptions horizontalCentered="1"/>
  <pageMargins left="0.19685039370078741" right="0.19685039370078741" top="0.94488188976377963" bottom="0.74803149606299213" header="0.31496062992125984" footer="0.31496062992125984"/>
  <pageSetup paperSize="9" scale="72" fitToHeight="10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view="pageLayout" zoomScale="120" zoomScaleNormal="85" zoomScalePageLayoutView="120" workbookViewId="0">
      <selection activeCell="B24" sqref="B24"/>
    </sheetView>
  </sheetViews>
  <sheetFormatPr defaultColWidth="9.1640625" defaultRowHeight="15" x14ac:dyDescent="0.2"/>
  <cols>
    <col min="1" max="1" width="29.33203125" style="1" customWidth="1"/>
    <col min="2" max="2" width="47.83203125" style="1" customWidth="1"/>
    <col min="3" max="3" width="39.5" style="1" customWidth="1"/>
    <col min="4" max="16384" width="9.1640625" style="1"/>
  </cols>
  <sheetData>
    <row r="1" spans="1:4" ht="15.75" x14ac:dyDescent="0.2">
      <c r="A1" s="23" t="s">
        <v>22</v>
      </c>
      <c r="B1" s="23" t="s">
        <v>15</v>
      </c>
      <c r="C1" s="23" t="s">
        <v>16</v>
      </c>
      <c r="D1" s="23" t="s">
        <v>82</v>
      </c>
    </row>
    <row r="2" spans="1:4" x14ac:dyDescent="0.2">
      <c r="A2" s="54" t="s">
        <v>78</v>
      </c>
      <c r="B2" s="22" t="s">
        <v>79</v>
      </c>
      <c r="C2" s="22"/>
      <c r="D2" s="22">
        <v>12</v>
      </c>
    </row>
    <row r="3" spans="1:4" x14ac:dyDescent="0.2">
      <c r="A3" s="54" t="s">
        <v>89</v>
      </c>
      <c r="B3" s="22" t="s">
        <v>80</v>
      </c>
      <c r="C3" s="22" t="s">
        <v>67</v>
      </c>
      <c r="D3" s="22">
        <v>12</v>
      </c>
    </row>
    <row r="4" spans="1:4" x14ac:dyDescent="0.2">
      <c r="A4" s="54" t="s">
        <v>77</v>
      </c>
      <c r="B4" s="22" t="s">
        <v>81</v>
      </c>
      <c r="C4" s="22" t="s">
        <v>67</v>
      </c>
      <c r="D4" s="22">
        <v>22</v>
      </c>
    </row>
    <row r="5" spans="1:4" s="61" customFormat="1" x14ac:dyDescent="0.2">
      <c r="A5" s="59" t="s">
        <v>194</v>
      </c>
      <c r="B5" s="57" t="s">
        <v>88</v>
      </c>
      <c r="C5" s="60" t="s">
        <v>67</v>
      </c>
      <c r="D5" s="22">
        <v>2</v>
      </c>
    </row>
    <row r="6" spans="1:4" s="61" customFormat="1" x14ac:dyDescent="0.2">
      <c r="A6" s="59" t="s">
        <v>90</v>
      </c>
      <c r="B6" s="57" t="s">
        <v>91</v>
      </c>
      <c r="C6" s="60"/>
      <c r="D6" s="22">
        <v>1</v>
      </c>
    </row>
  </sheetData>
  <phoneticPr fontId="8" type="noConversion"/>
  <conditionalFormatting sqref="B2:B3">
    <cfRule type="cellIs" dxfId="112" priority="19" stopIfTrue="1" operator="equal">
      <formula>"Policy"</formula>
    </cfRule>
    <cfRule type="cellIs" dxfId="111" priority="20" stopIfTrue="1" operator="equal">
      <formula>"Procedure"</formula>
    </cfRule>
    <cfRule type="cellIs" dxfId="110" priority="21" stopIfTrue="1" operator="equal">
      <formula>"Standard"</formula>
    </cfRule>
  </conditionalFormatting>
  <conditionalFormatting sqref="B4:B6">
    <cfRule type="cellIs" dxfId="109" priority="1" stopIfTrue="1" operator="equal">
      <formula>"Policy"</formula>
    </cfRule>
    <cfRule type="cellIs" dxfId="108" priority="2" stopIfTrue="1" operator="equal">
      <formula>"Procedure"</formula>
    </cfRule>
    <cfRule type="cellIs" dxfId="107" priority="3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view="pageLayout" topLeftCell="A9" zoomScale="140" zoomScaleNormal="85" zoomScalePageLayoutView="140" workbookViewId="0">
      <selection activeCell="A2" sqref="A2"/>
    </sheetView>
  </sheetViews>
  <sheetFormatPr defaultColWidth="9.1640625" defaultRowHeight="15" x14ac:dyDescent="0.2"/>
  <cols>
    <col min="1" max="1" width="15.1640625" style="1" customWidth="1"/>
    <col min="2" max="2" width="90.5" style="1" customWidth="1"/>
    <col min="3" max="3" width="7.33203125" style="1" customWidth="1"/>
    <col min="4" max="4" width="12.83203125" style="22" customWidth="1"/>
    <col min="5" max="5" width="25.33203125" style="22" customWidth="1"/>
    <col min="6" max="16384" width="9.1640625" style="1"/>
  </cols>
  <sheetData>
    <row r="1" spans="1:5" ht="23.25" x14ac:dyDescent="0.2">
      <c r="A1" s="80" t="s">
        <v>87</v>
      </c>
      <c r="B1" s="81"/>
      <c r="C1" s="46"/>
      <c r="D1" s="22" t="s">
        <v>121</v>
      </c>
      <c r="E1" s="22" t="s">
        <v>122</v>
      </c>
    </row>
    <row r="2" spans="1:5" ht="25.5" x14ac:dyDescent="0.2">
      <c r="A2" s="28">
        <v>1</v>
      </c>
      <c r="B2" s="47" t="s">
        <v>92</v>
      </c>
      <c r="D2" s="22" t="s">
        <v>123</v>
      </c>
      <c r="E2" s="22" t="s">
        <v>124</v>
      </c>
    </row>
    <row r="3" spans="1:5" x14ac:dyDescent="0.2">
      <c r="A3" s="28">
        <v>2</v>
      </c>
      <c r="B3" s="47" t="s">
        <v>94</v>
      </c>
      <c r="D3" s="22" t="s">
        <v>125</v>
      </c>
      <c r="E3" s="22" t="s">
        <v>126</v>
      </c>
    </row>
    <row r="4" spans="1:5" x14ac:dyDescent="0.2">
      <c r="A4" s="28">
        <v>3</v>
      </c>
      <c r="B4" s="47" t="s">
        <v>95</v>
      </c>
      <c r="D4" s="22" t="s">
        <v>185</v>
      </c>
      <c r="E4" s="22" t="s">
        <v>186</v>
      </c>
    </row>
    <row r="5" spans="1:5" ht="25.5" x14ac:dyDescent="0.2">
      <c r="A5" s="28">
        <v>4</v>
      </c>
      <c r="B5" s="47" t="s">
        <v>93</v>
      </c>
      <c r="D5" s="22" t="s">
        <v>127</v>
      </c>
      <c r="E5" s="22" t="s">
        <v>128</v>
      </c>
    </row>
    <row r="6" spans="1:5" x14ac:dyDescent="0.2">
      <c r="A6" s="28">
        <v>5</v>
      </c>
      <c r="B6" s="47" t="s">
        <v>96</v>
      </c>
      <c r="D6" s="22" t="s">
        <v>190</v>
      </c>
      <c r="E6" s="22" t="s">
        <v>129</v>
      </c>
    </row>
    <row r="7" spans="1:5" x14ac:dyDescent="0.2">
      <c r="A7" s="28">
        <v>6</v>
      </c>
      <c r="B7" s="47" t="s">
        <v>97</v>
      </c>
      <c r="D7" s="22" t="s">
        <v>130</v>
      </c>
      <c r="E7" s="22" t="s">
        <v>131</v>
      </c>
    </row>
    <row r="8" spans="1:5" ht="25.5" x14ac:dyDescent="0.2">
      <c r="A8" s="28">
        <v>7</v>
      </c>
      <c r="B8" s="47" t="s">
        <v>98</v>
      </c>
      <c r="D8" s="22" t="s">
        <v>132</v>
      </c>
      <c r="E8" s="22" t="s">
        <v>133</v>
      </c>
    </row>
    <row r="9" spans="1:5" x14ac:dyDescent="0.2">
      <c r="B9" s="22"/>
      <c r="D9" s="22" t="s">
        <v>134</v>
      </c>
      <c r="E9" s="22" t="s">
        <v>135</v>
      </c>
    </row>
    <row r="10" spans="1:5" ht="25.5" x14ac:dyDescent="0.2">
      <c r="A10" s="48" t="s">
        <v>83</v>
      </c>
      <c r="B10" s="43" t="s">
        <v>192</v>
      </c>
      <c r="D10" s="22" t="s">
        <v>180</v>
      </c>
      <c r="E10" s="22" t="s">
        <v>181</v>
      </c>
    </row>
    <row r="11" spans="1:5" ht="60" x14ac:dyDescent="0.2">
      <c r="A11" s="53" t="s">
        <v>193</v>
      </c>
      <c r="B11" s="52" t="s">
        <v>191</v>
      </c>
      <c r="D11" s="22" t="s">
        <v>136</v>
      </c>
      <c r="E11" s="22" t="s">
        <v>137</v>
      </c>
    </row>
    <row r="12" spans="1:5" x14ac:dyDescent="0.2">
      <c r="A12" s="45" t="s">
        <v>84</v>
      </c>
      <c r="B12" s="50" t="b" cm="1">
        <f t="array" ref="B12">IsFilled(B12)</f>
        <v>1</v>
      </c>
      <c r="D12" s="22" t="s">
        <v>138</v>
      </c>
      <c r="E12" s="22" t="s">
        <v>139</v>
      </c>
    </row>
    <row r="13" spans="1:5" x14ac:dyDescent="0.2">
      <c r="A13" s="45" t="s">
        <v>85</v>
      </c>
      <c r="B13" s="51" t="b" cm="1">
        <f t="array" ref="B13">IsFilled(A13)</f>
        <v>0</v>
      </c>
      <c r="D13" s="22" t="s">
        <v>140</v>
      </c>
      <c r="E13" s="22" t="s">
        <v>141</v>
      </c>
    </row>
    <row r="14" spans="1:5" x14ac:dyDescent="0.2">
      <c r="A14" s="45"/>
      <c r="B14" s="15" t="s">
        <v>86</v>
      </c>
      <c r="D14" s="22" t="s">
        <v>142</v>
      </c>
      <c r="E14" s="22" t="s">
        <v>143</v>
      </c>
    </row>
    <row r="15" spans="1:5" x14ac:dyDescent="0.2">
      <c r="D15" s="22" t="s">
        <v>144</v>
      </c>
      <c r="E15" s="22" t="s">
        <v>145</v>
      </c>
    </row>
    <row r="16" spans="1:5" x14ac:dyDescent="0.2">
      <c r="D16" s="22" t="s">
        <v>146</v>
      </c>
      <c r="E16" s="22" t="s">
        <v>147</v>
      </c>
    </row>
    <row r="17" spans="4:5" ht="25.5" x14ac:dyDescent="0.2">
      <c r="D17" s="22" t="s">
        <v>148</v>
      </c>
      <c r="E17" s="22" t="s">
        <v>149</v>
      </c>
    </row>
    <row r="18" spans="4:5" x14ac:dyDescent="0.2">
      <c r="D18" s="22" t="s">
        <v>150</v>
      </c>
      <c r="E18" s="22" t="s">
        <v>184</v>
      </c>
    </row>
    <row r="19" spans="4:5" x14ac:dyDescent="0.2">
      <c r="D19" s="22" t="s">
        <v>151</v>
      </c>
      <c r="E19" s="22" t="s">
        <v>152</v>
      </c>
    </row>
    <row r="20" spans="4:5" x14ac:dyDescent="0.2">
      <c r="D20" s="22" t="s">
        <v>187</v>
      </c>
      <c r="E20" s="22" t="s">
        <v>159</v>
      </c>
    </row>
    <row r="21" spans="4:5" x14ac:dyDescent="0.2">
      <c r="D21" s="22" t="s">
        <v>153</v>
      </c>
      <c r="E21" s="22" t="s">
        <v>154</v>
      </c>
    </row>
    <row r="22" spans="4:5" x14ac:dyDescent="0.2">
      <c r="D22" s="22" t="s">
        <v>155</v>
      </c>
      <c r="E22" s="22" t="s">
        <v>156</v>
      </c>
    </row>
    <row r="23" spans="4:5" x14ac:dyDescent="0.2">
      <c r="D23" s="22" t="s">
        <v>157</v>
      </c>
      <c r="E23" s="22" t="s">
        <v>158</v>
      </c>
    </row>
    <row r="24" spans="4:5" x14ac:dyDescent="0.2">
      <c r="D24" s="22" t="s">
        <v>182</v>
      </c>
      <c r="E24" s="22" t="s">
        <v>183</v>
      </c>
    </row>
    <row r="25" spans="4:5" x14ac:dyDescent="0.2">
      <c r="D25" s="22" t="s">
        <v>160</v>
      </c>
      <c r="E25" s="22" t="s">
        <v>161</v>
      </c>
    </row>
    <row r="26" spans="4:5" x14ac:dyDescent="0.2">
      <c r="D26" s="22" t="s">
        <v>164</v>
      </c>
      <c r="E26" s="22" t="s">
        <v>165</v>
      </c>
    </row>
    <row r="27" spans="4:5" x14ac:dyDescent="0.2">
      <c r="D27" s="22" t="s">
        <v>162</v>
      </c>
      <c r="E27" s="22" t="s">
        <v>163</v>
      </c>
    </row>
    <row r="28" spans="4:5" ht="25.5" x14ac:dyDescent="0.2">
      <c r="D28" s="22" t="s">
        <v>166</v>
      </c>
      <c r="E28" s="22" t="s">
        <v>167</v>
      </c>
    </row>
    <row r="29" spans="4:5" x14ac:dyDescent="0.2">
      <c r="D29" s="22" t="s">
        <v>168</v>
      </c>
      <c r="E29" s="22" t="s">
        <v>169</v>
      </c>
    </row>
    <row r="30" spans="4:5" ht="25.5" x14ac:dyDescent="0.2">
      <c r="D30" s="22" t="s">
        <v>170</v>
      </c>
      <c r="E30" s="22" t="s">
        <v>171</v>
      </c>
    </row>
    <row r="31" spans="4:5" x14ac:dyDescent="0.2">
      <c r="D31" s="22" t="s">
        <v>172</v>
      </c>
      <c r="E31" s="22" t="s">
        <v>173</v>
      </c>
    </row>
    <row r="32" spans="4:5" x14ac:dyDescent="0.2">
      <c r="D32" s="22" t="s">
        <v>174</v>
      </c>
      <c r="E32" s="22" t="s">
        <v>175</v>
      </c>
    </row>
    <row r="33" spans="4:5" x14ac:dyDescent="0.2">
      <c r="D33" s="22" t="s">
        <v>188</v>
      </c>
      <c r="E33" s="22" t="s">
        <v>176</v>
      </c>
    </row>
    <row r="34" spans="4:5" x14ac:dyDescent="0.2">
      <c r="D34" s="22" t="s">
        <v>189</v>
      </c>
      <c r="E34" s="22" t="s">
        <v>177</v>
      </c>
    </row>
    <row r="35" spans="4:5" x14ac:dyDescent="0.2">
      <c r="D35" s="22" t="s">
        <v>178</v>
      </c>
      <c r="E35" s="22" t="s">
        <v>179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5"/>
  <sheetViews>
    <sheetView tabSelected="1" view="pageLayout" topLeftCell="A16" zoomScale="130" zoomScaleNormal="85" zoomScalePageLayoutView="130" workbookViewId="0">
      <selection activeCell="B38" sqref="B38"/>
    </sheetView>
  </sheetViews>
  <sheetFormatPr defaultColWidth="9.1640625" defaultRowHeight="12.75" x14ac:dyDescent="0.2"/>
  <cols>
    <col min="1" max="1" width="15" style="34" customWidth="1"/>
    <col min="2" max="2" width="14" style="35" customWidth="1"/>
    <col min="3" max="3" width="12.6640625" style="33" customWidth="1"/>
    <col min="4" max="5" width="17.33203125" style="32" customWidth="1"/>
    <col min="6" max="6" width="28.33203125" style="32" customWidth="1"/>
    <col min="7" max="7" width="23.6640625" style="32" customWidth="1"/>
    <col min="8" max="8" width="27.1640625" style="32" customWidth="1"/>
    <col min="9" max="9" width="18.6640625" style="32" customWidth="1"/>
    <col min="10" max="10" width="12.6640625" style="32" customWidth="1"/>
    <col min="11" max="16384" width="9.1640625" style="32"/>
  </cols>
  <sheetData>
    <row r="1" spans="1:5" ht="15" x14ac:dyDescent="0.2">
      <c r="A1" s="84" t="s">
        <v>100</v>
      </c>
      <c r="B1" s="84"/>
      <c r="C1" s="84"/>
      <c r="D1" s="84"/>
      <c r="E1" s="84"/>
    </row>
    <row r="2" spans="1:5" x14ac:dyDescent="0.2">
      <c r="A2" s="22" t="s">
        <v>54</v>
      </c>
      <c r="B2" s="22" t="s">
        <v>101</v>
      </c>
      <c r="C2" s="22" t="s">
        <v>102</v>
      </c>
      <c r="D2" s="22" t="s">
        <v>103</v>
      </c>
      <c r="E2" s="22" t="s">
        <v>104</v>
      </c>
    </row>
    <row r="3" spans="1:5" x14ac:dyDescent="0.2">
      <c r="A3" s="22"/>
      <c r="B3" s="22"/>
      <c r="C3" s="22"/>
      <c r="D3" s="22"/>
      <c r="E3" s="22"/>
    </row>
    <row r="4" spans="1:5" x14ac:dyDescent="0.2">
      <c r="A4" s="22"/>
      <c r="B4" s="22"/>
      <c r="C4" s="22"/>
      <c r="D4" s="22"/>
      <c r="E4" s="22"/>
    </row>
    <row r="5" spans="1:5" x14ac:dyDescent="0.2">
      <c r="A5" s="22"/>
      <c r="B5" s="22"/>
      <c r="C5" s="22"/>
      <c r="D5" s="22"/>
      <c r="E5" s="22"/>
    </row>
    <row r="6" spans="1:5" x14ac:dyDescent="0.2">
      <c r="A6" s="22"/>
      <c r="B6" s="22"/>
      <c r="C6" s="22"/>
      <c r="D6" s="22"/>
      <c r="E6" s="22"/>
    </row>
    <row r="7" spans="1:5" x14ac:dyDescent="0.2">
      <c r="A7" s="22" t="s">
        <v>19</v>
      </c>
      <c r="B7" s="22"/>
      <c r="C7" s="22"/>
      <c r="D7" s="22"/>
      <c r="E7" s="22">
        <f>SUBTOTAL(103,Table_B124[Column5])</f>
        <v>0</v>
      </c>
    </row>
    <row r="8" spans="1:5" x14ac:dyDescent="0.2">
      <c r="A8" s="22"/>
      <c r="B8" s="22"/>
      <c r="C8" s="22"/>
      <c r="D8" s="22"/>
      <c r="E8" s="22"/>
    </row>
    <row r="9" spans="1:5" ht="15.75" x14ac:dyDescent="0.2">
      <c r="A9" s="85" t="s">
        <v>105</v>
      </c>
      <c r="B9" s="85"/>
      <c r="C9" s="85"/>
      <c r="D9" s="85"/>
      <c r="E9" s="85"/>
    </row>
    <row r="10" spans="1:5" x14ac:dyDescent="0.2">
      <c r="A10" s="22" t="s">
        <v>54</v>
      </c>
      <c r="B10" s="22" t="s">
        <v>101</v>
      </c>
      <c r="C10" s="22" t="s">
        <v>102</v>
      </c>
      <c r="D10" s="22" t="s">
        <v>103</v>
      </c>
      <c r="E10" s="22" t="s">
        <v>104</v>
      </c>
    </row>
    <row r="11" spans="1:5" x14ac:dyDescent="0.2">
      <c r="A11" s="22"/>
      <c r="B11" s="22"/>
      <c r="C11" s="22"/>
      <c r="D11" s="22"/>
      <c r="E11" s="22"/>
    </row>
    <row r="12" spans="1:5" x14ac:dyDescent="0.2">
      <c r="A12" s="22"/>
      <c r="B12" s="22"/>
      <c r="C12" s="22"/>
      <c r="D12" s="22"/>
      <c r="E12" s="22"/>
    </row>
    <row r="13" spans="1:5" x14ac:dyDescent="0.2">
      <c r="A13" s="22"/>
      <c r="B13" s="22"/>
      <c r="C13" s="22"/>
      <c r="D13" s="22"/>
      <c r="E13" s="22"/>
    </row>
    <row r="14" spans="1:5" x14ac:dyDescent="0.2">
      <c r="A14" s="22"/>
      <c r="B14" s="22"/>
      <c r="C14" s="22"/>
      <c r="D14" s="22"/>
      <c r="E14" s="22"/>
    </row>
    <row r="15" spans="1:5" x14ac:dyDescent="0.2">
      <c r="A15" s="22" t="s">
        <v>19</v>
      </c>
      <c r="B15" s="22"/>
      <c r="C15" s="22"/>
      <c r="D15" s="22"/>
      <c r="E15" s="22">
        <f>SUBTOTAL(103,Table_B222[Column5])</f>
        <v>0</v>
      </c>
    </row>
    <row r="16" spans="1:5" x14ac:dyDescent="0.2">
      <c r="A16" s="22"/>
      <c r="B16" s="22"/>
      <c r="C16" s="22"/>
      <c r="D16" s="22"/>
      <c r="E16" s="22"/>
    </row>
    <row r="17" spans="1:5" ht="15.75" customHeight="1" x14ac:dyDescent="0.2">
      <c r="A17" s="87" t="s">
        <v>106</v>
      </c>
      <c r="B17" s="87"/>
      <c r="C17" s="87"/>
      <c r="D17" s="87"/>
      <c r="E17" s="87"/>
    </row>
    <row r="18" spans="1:5" x14ac:dyDescent="0.2">
      <c r="A18" s="31" t="s">
        <v>54</v>
      </c>
      <c r="B18" s="31" t="s">
        <v>101</v>
      </c>
      <c r="C18" s="31" t="s">
        <v>102</v>
      </c>
      <c r="D18" s="31" t="s">
        <v>103</v>
      </c>
      <c r="E18" s="31" t="s">
        <v>104</v>
      </c>
    </row>
    <row r="19" spans="1:5" x14ac:dyDescent="0.2">
      <c r="A19" s="22"/>
      <c r="B19" s="22"/>
      <c r="C19" s="22"/>
      <c r="D19" s="22"/>
      <c r="E19" s="22"/>
    </row>
    <row r="20" spans="1:5" x14ac:dyDescent="0.2">
      <c r="A20" s="22"/>
      <c r="B20" s="22"/>
      <c r="C20" s="22"/>
      <c r="D20" s="22"/>
      <c r="E20" s="22"/>
    </row>
    <row r="21" spans="1:5" x14ac:dyDescent="0.2">
      <c r="A21" s="22"/>
      <c r="B21" s="22"/>
      <c r="C21" s="22"/>
      <c r="D21" s="22"/>
      <c r="E21" s="22"/>
    </row>
    <row r="22" spans="1:5" x14ac:dyDescent="0.2">
      <c r="A22" s="22"/>
      <c r="B22" s="22"/>
      <c r="C22" s="22"/>
      <c r="D22" s="22"/>
      <c r="E22" s="22"/>
    </row>
    <row r="23" spans="1:5" x14ac:dyDescent="0.2">
      <c r="A23" s="22" t="s">
        <v>19</v>
      </c>
      <c r="B23" s="22"/>
      <c r="C23" s="22"/>
      <c r="D23" s="22"/>
      <c r="E23" s="22">
        <f>SUBTOTAL(103,Table_117[Column5])</f>
        <v>0</v>
      </c>
    </row>
    <row r="24" spans="1:5" x14ac:dyDescent="0.2">
      <c r="A24" s="22"/>
      <c r="B24" s="22"/>
      <c r="C24" s="22"/>
      <c r="D24" s="22"/>
      <c r="E24" s="22"/>
    </row>
    <row r="25" spans="1:5" ht="15.75" customHeight="1" x14ac:dyDescent="0.2">
      <c r="A25" s="88" t="s">
        <v>107</v>
      </c>
      <c r="B25" s="88"/>
      <c r="C25" s="88"/>
      <c r="D25" s="88"/>
      <c r="E25" s="88"/>
    </row>
    <row r="26" spans="1:5" x14ac:dyDescent="0.2">
      <c r="A26" s="22" t="s">
        <v>54</v>
      </c>
      <c r="B26" s="22" t="s">
        <v>101</v>
      </c>
      <c r="C26" s="22" t="s">
        <v>102</v>
      </c>
      <c r="D26" s="22" t="s">
        <v>103</v>
      </c>
      <c r="E26" s="22" t="s">
        <v>104</v>
      </c>
    </row>
    <row r="27" spans="1:5" x14ac:dyDescent="0.2">
      <c r="A27" s="22"/>
      <c r="B27" s="22"/>
      <c r="C27" s="22"/>
      <c r="D27" s="22"/>
      <c r="E27" s="22"/>
    </row>
    <row r="28" spans="1:5" x14ac:dyDescent="0.2">
      <c r="A28" s="22"/>
      <c r="B28" s="22"/>
      <c r="C28" s="22"/>
      <c r="D28" s="22"/>
      <c r="E28" s="22"/>
    </row>
    <row r="29" spans="1:5" x14ac:dyDescent="0.2">
      <c r="A29" s="22"/>
      <c r="B29" s="22"/>
      <c r="C29" s="22"/>
      <c r="D29" s="22"/>
      <c r="E29" s="22"/>
    </row>
    <row r="30" spans="1:5" x14ac:dyDescent="0.2">
      <c r="A30" s="22" t="s">
        <v>19</v>
      </c>
      <c r="B30" s="22"/>
      <c r="C30" s="22"/>
      <c r="D30" s="22"/>
      <c r="E30" s="22">
        <f>SUBTOTAL(103,Table_218[Column5])</f>
        <v>0</v>
      </c>
    </row>
    <row r="31" spans="1:5" x14ac:dyDescent="0.2">
      <c r="A31" s="22"/>
      <c r="B31" s="22"/>
      <c r="C31" s="22"/>
      <c r="D31" s="22"/>
      <c r="E31" s="22"/>
    </row>
    <row r="32" spans="1:5" ht="15" customHeight="1" x14ac:dyDescent="0.2">
      <c r="A32" s="89" t="s">
        <v>108</v>
      </c>
      <c r="B32" s="89"/>
      <c r="C32" s="89"/>
      <c r="D32" s="89"/>
      <c r="E32" s="89"/>
    </row>
    <row r="33" spans="1:5" ht="15.75" x14ac:dyDescent="0.2">
      <c r="A33" s="40" t="s">
        <v>54</v>
      </c>
      <c r="B33" s="22" t="s">
        <v>101</v>
      </c>
      <c r="C33" s="22" t="s">
        <v>102</v>
      </c>
      <c r="D33" s="41" t="s">
        <v>103</v>
      </c>
      <c r="E33" s="22" t="s">
        <v>104</v>
      </c>
    </row>
    <row r="34" spans="1:5" x14ac:dyDescent="0.2">
      <c r="A34" s="22"/>
      <c r="B34" s="22"/>
      <c r="C34" s="22"/>
      <c r="D34" s="22"/>
      <c r="E34" s="22"/>
    </row>
    <row r="35" spans="1:5" x14ac:dyDescent="0.2">
      <c r="A35" s="22"/>
      <c r="B35" s="22"/>
      <c r="C35" s="22"/>
      <c r="D35" s="22"/>
      <c r="E35" s="22"/>
    </row>
    <row r="36" spans="1:5" x14ac:dyDescent="0.2">
      <c r="A36" s="22"/>
      <c r="B36" s="22"/>
      <c r="C36" s="22"/>
      <c r="D36" s="22"/>
      <c r="E36" s="22"/>
    </row>
    <row r="37" spans="1:5" x14ac:dyDescent="0.2">
      <c r="A37" s="22" t="s">
        <v>19</v>
      </c>
      <c r="B37" s="22"/>
      <c r="C37" s="22"/>
      <c r="D37" s="22"/>
      <c r="E37" s="22">
        <f>SUBTOTAL(103,Table_319[Column5])</f>
        <v>0</v>
      </c>
    </row>
    <row r="38" spans="1:5" x14ac:dyDescent="0.2">
      <c r="A38" s="22"/>
      <c r="B38" s="22"/>
      <c r="C38" s="22"/>
      <c r="D38" s="22"/>
      <c r="E38" s="22"/>
    </row>
    <row r="39" spans="1:5" ht="15.75" x14ac:dyDescent="0.2">
      <c r="A39" s="86" t="s">
        <v>199</v>
      </c>
      <c r="B39" s="86"/>
      <c r="C39" s="86"/>
      <c r="D39" s="86"/>
      <c r="E39" s="86"/>
    </row>
    <row r="40" spans="1:5" x14ac:dyDescent="0.2">
      <c r="A40" s="22" t="s">
        <v>54</v>
      </c>
      <c r="B40" s="22" t="s">
        <v>101</v>
      </c>
      <c r="C40" s="22" t="s">
        <v>102</v>
      </c>
      <c r="D40" s="22" t="s">
        <v>103</v>
      </c>
      <c r="E40" s="22" t="s">
        <v>104</v>
      </c>
    </row>
    <row r="41" spans="1:5" x14ac:dyDescent="0.2">
      <c r="A41" s="22"/>
      <c r="B41" s="22"/>
      <c r="C41" s="22"/>
      <c r="D41" s="22"/>
      <c r="E41" s="22"/>
    </row>
    <row r="42" spans="1:5" x14ac:dyDescent="0.2">
      <c r="A42" s="22"/>
      <c r="B42" s="22"/>
      <c r="C42" s="22"/>
      <c r="D42" s="22"/>
      <c r="E42" s="22"/>
    </row>
    <row r="43" spans="1:5" x14ac:dyDescent="0.2">
      <c r="A43" s="22"/>
      <c r="B43" s="22"/>
      <c r="C43" s="22"/>
      <c r="D43" s="22"/>
      <c r="E43" s="22"/>
    </row>
    <row r="44" spans="1:5" x14ac:dyDescent="0.2">
      <c r="A44" s="22"/>
      <c r="B44" s="22"/>
      <c r="C44" s="22"/>
      <c r="D44" s="22"/>
      <c r="E44" s="22"/>
    </row>
    <row r="45" spans="1:5" x14ac:dyDescent="0.2">
      <c r="A45" s="22" t="s">
        <v>19</v>
      </c>
      <c r="B45" s="22"/>
      <c r="C45" s="22"/>
      <c r="D45" s="22"/>
      <c r="E45" s="22">
        <f>SUBTOTAL(103,Table_5218[Column5])</f>
        <v>0</v>
      </c>
    </row>
    <row r="46" spans="1:5" x14ac:dyDescent="0.2">
      <c r="A46" s="64"/>
      <c r="B46" s="64"/>
      <c r="C46" s="64"/>
      <c r="D46" s="64"/>
      <c r="E46" s="64"/>
    </row>
    <row r="47" spans="1:5" x14ac:dyDescent="0.2">
      <c r="A47" s="64"/>
      <c r="B47" s="64"/>
      <c r="C47" s="64"/>
      <c r="D47" s="64"/>
      <c r="E47" s="64"/>
    </row>
    <row r="48" spans="1:5" x14ac:dyDescent="0.2">
      <c r="A48" s="64"/>
      <c r="B48" s="64"/>
      <c r="C48" s="64"/>
      <c r="D48" s="64"/>
      <c r="E48" s="64"/>
    </row>
    <row r="49" spans="1:5" x14ac:dyDescent="0.2">
      <c r="A49" s="64"/>
      <c r="B49" s="64"/>
      <c r="C49" s="64"/>
      <c r="D49" s="64"/>
      <c r="E49" s="64"/>
    </row>
    <row r="50" spans="1:5" x14ac:dyDescent="0.2">
      <c r="A50" s="64"/>
      <c r="B50" s="64"/>
      <c r="C50" s="64"/>
      <c r="D50" s="64"/>
      <c r="E50" s="64"/>
    </row>
    <row r="51" spans="1:5" ht="12.75" customHeight="1" x14ac:dyDescent="0.2">
      <c r="A51" s="82" t="s">
        <v>109</v>
      </c>
      <c r="B51" s="82"/>
      <c r="C51" s="82"/>
      <c r="D51" s="82"/>
      <c r="E51" s="82"/>
    </row>
    <row r="52" spans="1:5" x14ac:dyDescent="0.2">
      <c r="A52" s="22" t="s">
        <v>54</v>
      </c>
      <c r="B52" s="22" t="s">
        <v>101</v>
      </c>
      <c r="C52" s="22" t="s">
        <v>102</v>
      </c>
      <c r="D52" s="22" t="s">
        <v>103</v>
      </c>
      <c r="E52" s="22" t="s">
        <v>104</v>
      </c>
    </row>
    <row r="53" spans="1:5" x14ac:dyDescent="0.2">
      <c r="A53" s="22"/>
      <c r="B53" s="22"/>
      <c r="C53" s="22"/>
      <c r="D53" s="22"/>
      <c r="E53" s="22"/>
    </row>
    <row r="54" spans="1:5" x14ac:dyDescent="0.2">
      <c r="A54" s="22"/>
      <c r="B54" s="22"/>
      <c r="C54" s="22"/>
      <c r="D54" s="22"/>
      <c r="E54" s="22"/>
    </row>
    <row r="55" spans="1:5" x14ac:dyDescent="0.2">
      <c r="A55" s="22"/>
      <c r="B55" s="22"/>
      <c r="C55" s="22"/>
      <c r="D55" s="22"/>
      <c r="E55" s="22"/>
    </row>
    <row r="56" spans="1:5" x14ac:dyDescent="0.2">
      <c r="A56" s="22"/>
      <c r="B56" s="22"/>
      <c r="C56" s="22"/>
      <c r="D56" s="22"/>
      <c r="E56" s="22"/>
    </row>
    <row r="57" spans="1:5" x14ac:dyDescent="0.2">
      <c r="A57" s="22" t="s">
        <v>19</v>
      </c>
      <c r="B57" s="22"/>
      <c r="C57" s="22"/>
      <c r="D57" s="22"/>
      <c r="E57" s="22">
        <f>SUBTOTAL(103,Table_521[Column5])</f>
        <v>0</v>
      </c>
    </row>
    <row r="58" spans="1:5" x14ac:dyDescent="0.2">
      <c r="A58" s="22"/>
      <c r="B58" s="22"/>
      <c r="C58" s="22"/>
      <c r="D58" s="22"/>
      <c r="E58" s="22"/>
    </row>
    <row r="59" spans="1:5" ht="15.75" x14ac:dyDescent="0.2">
      <c r="A59" s="83" t="s">
        <v>110</v>
      </c>
      <c r="B59" s="83"/>
      <c r="C59" s="83"/>
      <c r="D59" s="83"/>
      <c r="E59" s="83"/>
    </row>
    <row r="60" spans="1:5" x14ac:dyDescent="0.2">
      <c r="A60" s="22" t="s">
        <v>54</v>
      </c>
      <c r="B60" s="22" t="s">
        <v>101</v>
      </c>
      <c r="C60" s="22" t="s">
        <v>102</v>
      </c>
      <c r="D60" s="22" t="s">
        <v>103</v>
      </c>
      <c r="E60" s="22" t="s">
        <v>104</v>
      </c>
    </row>
    <row r="61" spans="1:5" x14ac:dyDescent="0.2">
      <c r="A61" s="22"/>
      <c r="B61" s="22"/>
      <c r="C61" s="22"/>
      <c r="D61" s="22"/>
      <c r="E61" s="22"/>
    </row>
    <row r="62" spans="1:5" x14ac:dyDescent="0.2">
      <c r="A62" s="22"/>
      <c r="B62" s="22"/>
      <c r="C62" s="22"/>
      <c r="D62" s="22"/>
      <c r="E62" s="22"/>
    </row>
    <row r="63" spans="1:5" x14ac:dyDescent="0.2">
      <c r="A63" s="22"/>
      <c r="B63" s="22"/>
      <c r="C63" s="22"/>
      <c r="D63" s="22"/>
      <c r="E63" s="22"/>
    </row>
    <row r="64" spans="1:5" x14ac:dyDescent="0.2">
      <c r="A64" s="22"/>
      <c r="B64" s="22"/>
      <c r="C64" s="22"/>
      <c r="D64" s="22"/>
      <c r="E64" s="22"/>
    </row>
    <row r="65" spans="1:5" x14ac:dyDescent="0.2">
      <c r="A65" s="22" t="s">
        <v>19</v>
      </c>
      <c r="B65" s="22"/>
      <c r="C65" s="22"/>
      <c r="D65" s="22"/>
      <c r="E65" s="22">
        <f>SUBTOTAL(103,Table_623[Column5])</f>
        <v>0</v>
      </c>
    </row>
  </sheetData>
  <mergeCells count="8">
    <mergeCell ref="A51:E51"/>
    <mergeCell ref="A59:E59"/>
    <mergeCell ref="A1:E1"/>
    <mergeCell ref="A9:E9"/>
    <mergeCell ref="A39:E39"/>
    <mergeCell ref="A17:E17"/>
    <mergeCell ref="A25:E25"/>
    <mergeCell ref="A32:E32"/>
  </mergeCells>
  <pageMargins left="0.19685039370078741" right="0.19685039370078741" top="0.94488188976377963" bottom="0.74803149606299213" header="0.31496062992125984" footer="0.31496062992125984"/>
  <pageSetup scale="84" fitToHeight="10" orientation="landscape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view="pageLayout" zoomScaleNormal="100" workbookViewId="0">
      <selection activeCell="G22" sqref="G22"/>
    </sheetView>
  </sheetViews>
  <sheetFormatPr defaultRowHeight="11.25" x14ac:dyDescent="0.2"/>
  <cols>
    <col min="1" max="1" width="47" customWidth="1"/>
    <col min="2" max="2" width="9.6640625" customWidth="1"/>
    <col min="3" max="3" width="16.5" customWidth="1"/>
    <col min="4" max="5" width="10.1640625" customWidth="1"/>
    <col min="6" max="6" width="20.6640625" customWidth="1"/>
    <col min="7" max="7" width="14.33203125" bestFit="1" customWidth="1"/>
  </cols>
  <sheetData>
    <row r="3" spans="1:3" x14ac:dyDescent="0.2">
      <c r="A3" s="24" t="s">
        <v>68</v>
      </c>
      <c r="B3" t="s">
        <v>71</v>
      </c>
      <c r="C3" t="s">
        <v>72</v>
      </c>
    </row>
    <row r="4" spans="1:3" x14ac:dyDescent="0.2">
      <c r="A4" s="25" t="s">
        <v>65</v>
      </c>
      <c r="B4">
        <v>34</v>
      </c>
      <c r="C4">
        <v>2</v>
      </c>
    </row>
    <row r="5" spans="1:3" x14ac:dyDescent="0.2">
      <c r="A5" s="26" t="s">
        <v>59</v>
      </c>
      <c r="B5">
        <v>12</v>
      </c>
      <c r="C5">
        <v>1</v>
      </c>
    </row>
    <row r="6" spans="1:3" x14ac:dyDescent="0.2">
      <c r="A6" s="27" t="s">
        <v>67</v>
      </c>
      <c r="B6">
        <v>12</v>
      </c>
      <c r="C6">
        <v>1</v>
      </c>
    </row>
    <row r="7" spans="1:3" x14ac:dyDescent="0.2">
      <c r="A7" s="26" t="s">
        <v>60</v>
      </c>
      <c r="B7">
        <v>22</v>
      </c>
      <c r="C7">
        <v>1</v>
      </c>
    </row>
    <row r="8" spans="1:3" x14ac:dyDescent="0.2">
      <c r="A8" s="27" t="s">
        <v>67</v>
      </c>
      <c r="B8">
        <v>22</v>
      </c>
      <c r="C8">
        <v>1</v>
      </c>
    </row>
    <row r="9" spans="1:3" x14ac:dyDescent="0.2">
      <c r="A9" s="25" t="s">
        <v>66</v>
      </c>
      <c r="B9">
        <v>216</v>
      </c>
      <c r="C9">
        <v>1</v>
      </c>
    </row>
    <row r="10" spans="1:3" x14ac:dyDescent="0.2">
      <c r="A10" s="26" t="s">
        <v>61</v>
      </c>
      <c r="B10">
        <v>2</v>
      </c>
      <c r="C10">
        <v>1</v>
      </c>
    </row>
    <row r="11" spans="1:3" x14ac:dyDescent="0.2">
      <c r="A11" s="27" t="s">
        <v>67</v>
      </c>
      <c r="B11">
        <v>2</v>
      </c>
      <c r="C11">
        <v>1</v>
      </c>
    </row>
    <row r="12" spans="1:3" x14ac:dyDescent="0.2">
      <c r="A12" s="26" t="s">
        <v>62</v>
      </c>
      <c r="B12">
        <v>1</v>
      </c>
    </row>
    <row r="13" spans="1:3" x14ac:dyDescent="0.2">
      <c r="A13" s="27" t="s">
        <v>70</v>
      </c>
      <c r="B13">
        <v>1</v>
      </c>
    </row>
    <row r="14" spans="1:3" x14ac:dyDescent="0.2">
      <c r="A14" s="26" t="s">
        <v>63</v>
      </c>
      <c r="B14">
        <v>1</v>
      </c>
    </row>
    <row r="15" spans="1:3" x14ac:dyDescent="0.2">
      <c r="A15" s="27" t="s">
        <v>70</v>
      </c>
      <c r="B15">
        <v>1</v>
      </c>
    </row>
    <row r="16" spans="1:3" x14ac:dyDescent="0.2">
      <c r="A16" s="26" t="s">
        <v>64</v>
      </c>
      <c r="B16">
        <v>212</v>
      </c>
    </row>
    <row r="17" spans="1:5" ht="15" x14ac:dyDescent="0.2">
      <c r="A17" s="27" t="s">
        <v>70</v>
      </c>
      <c r="B17">
        <v>212</v>
      </c>
      <c r="E17" s="30"/>
    </row>
    <row r="18" spans="1:5" x14ac:dyDescent="0.2">
      <c r="A18" s="25" t="s">
        <v>55</v>
      </c>
      <c r="B18">
        <v>12</v>
      </c>
    </row>
    <row r="19" spans="1:5" x14ac:dyDescent="0.2">
      <c r="A19" s="26" t="s">
        <v>58</v>
      </c>
      <c r="B19">
        <v>12</v>
      </c>
    </row>
    <row r="20" spans="1:5" x14ac:dyDescent="0.2">
      <c r="A20" s="27" t="s">
        <v>70</v>
      </c>
      <c r="B20">
        <v>12</v>
      </c>
    </row>
    <row r="21" spans="1:5" x14ac:dyDescent="0.2">
      <c r="A21" s="25" t="s">
        <v>69</v>
      </c>
      <c r="B21">
        <v>262</v>
      </c>
      <c r="C21">
        <v>3</v>
      </c>
    </row>
    <row r="23" spans="1:5" x14ac:dyDescent="0.2">
      <c r="A23" s="24" t="s">
        <v>68</v>
      </c>
      <c r="B23" s="24" t="s">
        <v>71</v>
      </c>
      <c r="C23" s="24" t="s">
        <v>72</v>
      </c>
    </row>
    <row r="24" spans="1:5" x14ac:dyDescent="0.2">
      <c r="A24" s="25" t="s">
        <v>65</v>
      </c>
      <c r="B24">
        <v>34</v>
      </c>
      <c r="C24">
        <v>2</v>
      </c>
    </row>
    <row r="25" spans="1:5" x14ac:dyDescent="0.2">
      <c r="A25" s="26" t="s">
        <v>59</v>
      </c>
      <c r="B25">
        <v>12</v>
      </c>
      <c r="C25">
        <v>1</v>
      </c>
    </row>
    <row r="26" spans="1:5" x14ac:dyDescent="0.2">
      <c r="A26" s="27" t="s">
        <v>67</v>
      </c>
      <c r="B26">
        <v>12</v>
      </c>
      <c r="C26">
        <v>1</v>
      </c>
    </row>
    <row r="27" spans="1:5" x14ac:dyDescent="0.2">
      <c r="A27" s="26" t="s">
        <v>60</v>
      </c>
      <c r="B27">
        <v>22</v>
      </c>
      <c r="C27">
        <v>1</v>
      </c>
    </row>
    <row r="28" spans="1:5" x14ac:dyDescent="0.2">
      <c r="A28" s="27" t="s">
        <v>67</v>
      </c>
      <c r="B28">
        <v>22</v>
      </c>
      <c r="C28">
        <v>1</v>
      </c>
    </row>
    <row r="29" spans="1:5" x14ac:dyDescent="0.2">
      <c r="A29" s="25" t="s">
        <v>66</v>
      </c>
      <c r="B29">
        <v>216</v>
      </c>
      <c r="C29">
        <v>1</v>
      </c>
    </row>
    <row r="30" spans="1:5" x14ac:dyDescent="0.2">
      <c r="A30" s="26" t="s">
        <v>61</v>
      </c>
      <c r="B30">
        <v>2</v>
      </c>
      <c r="C30">
        <v>1</v>
      </c>
    </row>
    <row r="31" spans="1:5" x14ac:dyDescent="0.2">
      <c r="A31" s="27" t="s">
        <v>67</v>
      </c>
      <c r="B31">
        <v>2</v>
      </c>
      <c r="C31">
        <v>1</v>
      </c>
    </row>
    <row r="32" spans="1:5" x14ac:dyDescent="0.2">
      <c r="A32" s="26" t="s">
        <v>62</v>
      </c>
      <c r="B32">
        <v>1</v>
      </c>
    </row>
    <row r="33" spans="1:3" x14ac:dyDescent="0.2">
      <c r="A33" s="27" t="s">
        <v>70</v>
      </c>
      <c r="B33">
        <v>1</v>
      </c>
    </row>
    <row r="34" spans="1:3" x14ac:dyDescent="0.2">
      <c r="A34" s="26" t="s">
        <v>63</v>
      </c>
      <c r="B34">
        <v>1</v>
      </c>
    </row>
    <row r="35" spans="1:3" x14ac:dyDescent="0.2">
      <c r="A35" s="27" t="s">
        <v>70</v>
      </c>
      <c r="B35">
        <v>1</v>
      </c>
    </row>
    <row r="36" spans="1:3" x14ac:dyDescent="0.2">
      <c r="A36" s="26" t="s">
        <v>64</v>
      </c>
      <c r="B36">
        <v>212</v>
      </c>
    </row>
    <row r="37" spans="1:3" x14ac:dyDescent="0.2">
      <c r="A37" s="27" t="s">
        <v>70</v>
      </c>
      <c r="B37">
        <v>212</v>
      </c>
    </row>
    <row r="38" spans="1:3" x14ac:dyDescent="0.2">
      <c r="A38" s="25" t="s">
        <v>55</v>
      </c>
      <c r="B38">
        <v>12</v>
      </c>
    </row>
    <row r="39" spans="1:3" x14ac:dyDescent="0.2">
      <c r="A39" s="26" t="s">
        <v>58</v>
      </c>
      <c r="B39">
        <v>12</v>
      </c>
    </row>
    <row r="40" spans="1:3" x14ac:dyDescent="0.2">
      <c r="A40" s="27" t="s">
        <v>70</v>
      </c>
      <c r="B40">
        <v>12</v>
      </c>
    </row>
    <row r="41" spans="1:3" x14ac:dyDescent="0.2">
      <c r="A41" s="25" t="s">
        <v>69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33203125" defaultRowHeight="15" x14ac:dyDescent="0.2"/>
  <cols>
    <col min="1" max="1" width="53.5" style="1" customWidth="1"/>
    <col min="2" max="2" width="12.1640625" style="1" customWidth="1"/>
    <col min="3" max="4" width="8" style="1" customWidth="1"/>
    <col min="5" max="5" width="14" style="1" customWidth="1"/>
    <col min="6" max="6" width="13.83203125" style="1" customWidth="1"/>
    <col min="7" max="7" width="9.1640625" style="1" customWidth="1"/>
    <col min="8" max="8" width="13" style="1" customWidth="1"/>
    <col min="9" max="16384" width="9.33203125" style="1"/>
  </cols>
  <sheetData>
    <row r="1" spans="1:11" x14ac:dyDescent="0.2">
      <c r="A1" s="90" t="s">
        <v>24</v>
      </c>
      <c r="B1" s="90"/>
      <c r="C1" s="90"/>
      <c r="D1" s="90"/>
      <c r="E1" s="90"/>
      <c r="F1" s="90"/>
      <c r="G1" s="90"/>
      <c r="H1" s="90"/>
      <c r="I1" s="90"/>
      <c r="J1" s="90"/>
      <c r="K1" s="90"/>
    </row>
    <row r="3" spans="1:11" ht="21" x14ac:dyDescent="0.2">
      <c r="A3" s="91" t="s">
        <v>25</v>
      </c>
      <c r="B3" s="91"/>
      <c r="C3" s="91"/>
      <c r="D3" s="91"/>
      <c r="E3" s="91"/>
      <c r="F3" s="91"/>
      <c r="G3" s="91"/>
      <c r="H3" s="91"/>
      <c r="I3" s="91"/>
      <c r="J3" s="91"/>
      <c r="K3" s="91"/>
    </row>
    <row r="5" spans="1:11" x14ac:dyDescent="0.2">
      <c r="A5" s="4" t="s">
        <v>26</v>
      </c>
    </row>
    <row r="7" spans="1:11" x14ac:dyDescent="0.2">
      <c r="A7" s="4" t="s">
        <v>27</v>
      </c>
    </row>
    <row r="9" spans="1:11" ht="21" x14ac:dyDescent="0.2">
      <c r="B9" s="21" t="s">
        <v>28</v>
      </c>
      <c r="C9" s="1" t="s">
        <v>29</v>
      </c>
      <c r="D9" s="1" t="s">
        <v>30</v>
      </c>
      <c r="E9" s="1" t="s">
        <v>31</v>
      </c>
      <c r="F9" s="1" t="s">
        <v>32</v>
      </c>
      <c r="G9" s="1" t="s">
        <v>33</v>
      </c>
      <c r="H9" s="1" t="s">
        <v>34</v>
      </c>
    </row>
    <row r="10" spans="1:11" x14ac:dyDescent="0.2">
      <c r="B10" s="1" t="s">
        <v>35</v>
      </c>
      <c r="F10" s="4"/>
    </row>
    <row r="11" spans="1:11" x14ac:dyDescent="0.2">
      <c r="B11" s="1" t="s">
        <v>36</v>
      </c>
    </row>
    <row r="12" spans="1:11" x14ac:dyDescent="0.2">
      <c r="B12" s="1" t="s">
        <v>37</v>
      </c>
    </row>
    <row r="13" spans="1:11" x14ac:dyDescent="0.2">
      <c r="B13" s="1" t="s">
        <v>38</v>
      </c>
    </row>
    <row r="14" spans="1:11" x14ac:dyDescent="0.2">
      <c r="B14" s="1" t="s">
        <v>39</v>
      </c>
    </row>
    <row r="15" spans="1:11" x14ac:dyDescent="0.2">
      <c r="B15" s="1" t="s">
        <v>40</v>
      </c>
    </row>
    <row r="16" spans="1:11" x14ac:dyDescent="0.2">
      <c r="B16" s="1" t="s">
        <v>41</v>
      </c>
    </row>
    <row r="17" spans="1:8" x14ac:dyDescent="0.2">
      <c r="B17" s="1" t="s">
        <v>42</v>
      </c>
    </row>
    <row r="18" spans="1:8" x14ac:dyDescent="0.2">
      <c r="B18" s="1" t="s">
        <v>19</v>
      </c>
      <c r="H18" s="1">
        <f>SUBTOTAL(103,Table2[Htotal])</f>
        <v>0</v>
      </c>
    </row>
    <row r="20" spans="1:8" x14ac:dyDescent="0.2">
      <c r="A20" s="4" t="s">
        <v>43</v>
      </c>
    </row>
    <row r="22" spans="1:8" x14ac:dyDescent="0.2">
      <c r="B22" s="1" t="s">
        <v>28</v>
      </c>
      <c r="C22" s="1" t="s">
        <v>29</v>
      </c>
      <c r="D22" s="1" t="s">
        <v>30</v>
      </c>
      <c r="E22" s="1" t="s">
        <v>31</v>
      </c>
      <c r="F22" s="1" t="s">
        <v>32</v>
      </c>
      <c r="G22" s="1" t="s">
        <v>33</v>
      </c>
      <c r="H22" s="1" t="s">
        <v>34</v>
      </c>
    </row>
    <row r="23" spans="1:8" x14ac:dyDescent="0.2">
      <c r="B23" s="1" t="s">
        <v>35</v>
      </c>
    </row>
    <row r="24" spans="1:8" x14ac:dyDescent="0.2">
      <c r="B24" s="1" t="s">
        <v>36</v>
      </c>
    </row>
    <row r="25" spans="1:8" x14ac:dyDescent="0.2">
      <c r="B25" s="1" t="s">
        <v>37</v>
      </c>
    </row>
    <row r="26" spans="1:8" x14ac:dyDescent="0.2">
      <c r="B26" s="1" t="s">
        <v>38</v>
      </c>
    </row>
    <row r="27" spans="1:8" x14ac:dyDescent="0.2">
      <c r="B27" s="1" t="s">
        <v>39</v>
      </c>
    </row>
    <row r="28" spans="1:8" x14ac:dyDescent="0.2">
      <c r="B28" s="1" t="s">
        <v>40</v>
      </c>
    </row>
    <row r="29" spans="1:8" x14ac:dyDescent="0.2">
      <c r="B29" s="1" t="s">
        <v>41</v>
      </c>
    </row>
    <row r="30" spans="1:8" x14ac:dyDescent="0.2">
      <c r="B30" s="1" t="s">
        <v>42</v>
      </c>
    </row>
    <row r="31" spans="1:8" x14ac:dyDescent="0.2">
      <c r="B31" s="1" t="s">
        <v>19</v>
      </c>
      <c r="H31" s="1">
        <f>SUBTOTAL(103,Table311[Htotal])</f>
        <v>0</v>
      </c>
    </row>
    <row r="33" spans="1:8" x14ac:dyDescent="0.2">
      <c r="A33" s="4" t="s">
        <v>44</v>
      </c>
    </row>
    <row r="35" spans="1:8" x14ac:dyDescent="0.2">
      <c r="B35" s="5" t="s">
        <v>28</v>
      </c>
      <c r="C35" s="6" t="s">
        <v>29</v>
      </c>
      <c r="D35" s="6" t="s">
        <v>30</v>
      </c>
      <c r="E35" s="6" t="s">
        <v>31</v>
      </c>
      <c r="F35" s="6" t="s">
        <v>32</v>
      </c>
      <c r="G35" s="6" t="s">
        <v>33</v>
      </c>
      <c r="H35" s="7" t="s">
        <v>34</v>
      </c>
    </row>
    <row r="36" spans="1:8" x14ac:dyDescent="0.2">
      <c r="B36" s="8" t="s">
        <v>35</v>
      </c>
      <c r="C36" s="9"/>
      <c r="D36" s="9"/>
      <c r="E36" s="9"/>
      <c r="F36" s="9"/>
      <c r="G36" s="9"/>
      <c r="H36" s="10"/>
    </row>
    <row r="37" spans="1:8" x14ac:dyDescent="0.2">
      <c r="B37" s="8" t="s">
        <v>36</v>
      </c>
      <c r="C37" s="9"/>
      <c r="D37" s="9"/>
      <c r="E37" s="9"/>
      <c r="F37" s="9"/>
      <c r="G37" s="9"/>
      <c r="H37" s="10"/>
    </row>
    <row r="38" spans="1:8" x14ac:dyDescent="0.2">
      <c r="B38" s="8" t="s">
        <v>37</v>
      </c>
      <c r="C38" s="9"/>
      <c r="D38" s="9"/>
      <c r="E38" s="9"/>
      <c r="F38" s="9"/>
      <c r="G38" s="9"/>
      <c r="H38" s="10"/>
    </row>
    <row r="39" spans="1:8" x14ac:dyDescent="0.2">
      <c r="B39" s="8" t="s">
        <v>38</v>
      </c>
      <c r="C39" s="9"/>
      <c r="D39" s="9"/>
      <c r="E39" s="9"/>
      <c r="F39" s="9"/>
      <c r="G39" s="9"/>
      <c r="H39" s="10"/>
    </row>
    <row r="40" spans="1:8" x14ac:dyDescent="0.2">
      <c r="B40" s="8" t="s">
        <v>39</v>
      </c>
      <c r="C40" s="9"/>
      <c r="D40" s="9"/>
      <c r="E40" s="9"/>
      <c r="F40" s="9"/>
      <c r="G40" s="9"/>
      <c r="H40" s="10"/>
    </row>
    <row r="41" spans="1:8" x14ac:dyDescent="0.2">
      <c r="B41" s="8" t="s">
        <v>40</v>
      </c>
      <c r="C41" s="9"/>
      <c r="D41" s="9"/>
      <c r="E41" s="9"/>
      <c r="F41" s="9"/>
      <c r="G41" s="9"/>
      <c r="H41" s="10"/>
    </row>
    <row r="42" spans="1:8" x14ac:dyDescent="0.2">
      <c r="B42" s="8" t="s">
        <v>41</v>
      </c>
      <c r="C42" s="9"/>
      <c r="D42" s="9"/>
      <c r="E42" s="9"/>
      <c r="F42" s="9"/>
      <c r="G42" s="9"/>
      <c r="H42" s="10"/>
    </row>
    <row r="43" spans="1:8" x14ac:dyDescent="0.2">
      <c r="B43" s="8" t="s">
        <v>42</v>
      </c>
      <c r="C43" s="11"/>
      <c r="D43" s="11"/>
      <c r="E43" s="11"/>
      <c r="F43" s="11"/>
      <c r="G43" s="11"/>
      <c r="H43" s="12"/>
    </row>
    <row r="44" spans="1:8" x14ac:dyDescent="0.2">
      <c r="B44" s="13" t="s">
        <v>19</v>
      </c>
      <c r="C44" s="11"/>
      <c r="D44" s="11"/>
      <c r="E44" s="11"/>
      <c r="F44" s="11"/>
      <c r="G44" s="11"/>
      <c r="H44" s="12">
        <f>SUBTOTAL(103,Table412[Htotal])</f>
        <v>0</v>
      </c>
    </row>
    <row r="45" spans="1:8" x14ac:dyDescent="0.2">
      <c r="A45" s="4" t="s">
        <v>45</v>
      </c>
    </row>
    <row r="47" spans="1:8" x14ac:dyDescent="0.2">
      <c r="B47" s="5" t="s">
        <v>28</v>
      </c>
      <c r="C47" s="6" t="s">
        <v>29</v>
      </c>
      <c r="D47" s="6" t="s">
        <v>30</v>
      </c>
      <c r="E47" s="6" t="s">
        <v>31</v>
      </c>
      <c r="F47" s="6" t="s">
        <v>32</v>
      </c>
      <c r="G47" s="6" t="s">
        <v>33</v>
      </c>
      <c r="H47" s="7" t="s">
        <v>34</v>
      </c>
    </row>
    <row r="48" spans="1:8" x14ac:dyDescent="0.2">
      <c r="B48" s="8" t="s">
        <v>35</v>
      </c>
      <c r="C48" s="9"/>
      <c r="D48" s="9"/>
      <c r="E48" s="9"/>
      <c r="F48" s="9"/>
      <c r="G48" s="9"/>
      <c r="H48" s="10"/>
    </row>
    <row r="49" spans="1:8" x14ac:dyDescent="0.2">
      <c r="B49" s="8" t="s">
        <v>36</v>
      </c>
      <c r="C49" s="9"/>
      <c r="D49" s="9"/>
      <c r="E49" s="9"/>
      <c r="F49" s="9"/>
      <c r="G49" s="9"/>
      <c r="H49" s="10"/>
    </row>
    <row r="50" spans="1:8" x14ac:dyDescent="0.2">
      <c r="B50" s="8" t="s">
        <v>37</v>
      </c>
      <c r="C50" s="9"/>
      <c r="D50" s="9"/>
      <c r="E50" s="9"/>
      <c r="F50" s="9"/>
      <c r="G50" s="9"/>
      <c r="H50" s="10"/>
    </row>
    <row r="51" spans="1:8" x14ac:dyDescent="0.2">
      <c r="B51" s="8" t="s">
        <v>38</v>
      </c>
      <c r="C51" s="9"/>
      <c r="D51" s="9"/>
      <c r="E51" s="9"/>
      <c r="F51" s="9"/>
      <c r="G51" s="9"/>
      <c r="H51" s="10"/>
    </row>
    <row r="52" spans="1:8" x14ac:dyDescent="0.2">
      <c r="B52" s="8" t="s">
        <v>39</v>
      </c>
      <c r="C52" s="9"/>
      <c r="D52" s="9"/>
      <c r="E52" s="9"/>
      <c r="F52" s="9"/>
      <c r="G52" s="9"/>
      <c r="H52" s="10"/>
    </row>
    <row r="53" spans="1:8" x14ac:dyDescent="0.2">
      <c r="B53" s="8" t="s">
        <v>40</v>
      </c>
      <c r="C53" s="9"/>
      <c r="D53" s="9"/>
      <c r="E53" s="9"/>
      <c r="F53" s="9"/>
      <c r="G53" s="9"/>
      <c r="H53" s="10"/>
    </row>
    <row r="54" spans="1:8" x14ac:dyDescent="0.2">
      <c r="B54" s="8" t="s">
        <v>41</v>
      </c>
      <c r="C54" s="9"/>
      <c r="D54" s="9"/>
      <c r="E54" s="9"/>
      <c r="F54" s="9"/>
      <c r="G54" s="9"/>
      <c r="H54" s="10"/>
    </row>
    <row r="55" spans="1:8" x14ac:dyDescent="0.2">
      <c r="B55" s="8" t="s">
        <v>42</v>
      </c>
      <c r="C55" s="11"/>
      <c r="D55" s="11"/>
      <c r="E55" s="11"/>
      <c r="F55" s="11"/>
      <c r="G55" s="11"/>
      <c r="H55" s="12"/>
    </row>
    <row r="56" spans="1:8" x14ac:dyDescent="0.2">
      <c r="B56" s="13" t="s">
        <v>19</v>
      </c>
      <c r="C56" s="11"/>
      <c r="D56" s="11"/>
      <c r="E56" s="11"/>
      <c r="F56" s="11"/>
      <c r="G56" s="11"/>
      <c r="H56" s="12">
        <f>SUBTOTAL(103,Table46[Htotal])</f>
        <v>0</v>
      </c>
    </row>
    <row r="58" spans="1:8" ht="18.75" x14ac:dyDescent="0.2">
      <c r="A58" s="14" t="s">
        <v>46</v>
      </c>
    </row>
    <row r="60" spans="1:8" x14ac:dyDescent="0.2">
      <c r="C60" s="15" t="s">
        <v>47</v>
      </c>
      <c r="D60" s="16" t="s">
        <v>29</v>
      </c>
      <c r="E60" s="16" t="s">
        <v>30</v>
      </c>
      <c r="F60" s="16" t="s">
        <v>31</v>
      </c>
      <c r="G60" s="16" t="s">
        <v>32</v>
      </c>
    </row>
    <row r="61" spans="1:8" x14ac:dyDescent="0.2">
      <c r="C61" s="4" t="s">
        <v>48</v>
      </c>
      <c r="D61" s="4" t="s">
        <v>49</v>
      </c>
      <c r="E61" s="4" t="s">
        <v>50</v>
      </c>
      <c r="F61" s="17" t="s">
        <v>51</v>
      </c>
      <c r="G61" s="4" t="s">
        <v>52</v>
      </c>
    </row>
    <row r="62" spans="1:8" x14ac:dyDescent="0.2">
      <c r="C62" s="18"/>
      <c r="D62" s="4"/>
      <c r="E62" s="4"/>
      <c r="F62" s="17"/>
      <c r="G62" s="4"/>
    </row>
    <row r="63" spans="1:8" x14ac:dyDescent="0.2">
      <c r="C63" s="18"/>
      <c r="D63" s="4"/>
      <c r="E63" s="4"/>
      <c r="F63" s="17"/>
      <c r="G63" s="4"/>
    </row>
    <row r="64" spans="1:8" x14ac:dyDescent="0.2">
      <c r="C64" s="18"/>
      <c r="D64" s="4"/>
      <c r="E64" s="4"/>
      <c r="F64" s="17"/>
      <c r="G64" s="4"/>
    </row>
    <row r="65" spans="3:7" x14ac:dyDescent="0.2">
      <c r="C65" s="18"/>
      <c r="D65" s="4"/>
      <c r="E65" s="4"/>
      <c r="F65" s="17"/>
      <c r="G65" s="4"/>
    </row>
    <row r="66" spans="3:7" x14ac:dyDescent="0.2">
      <c r="C66" s="18"/>
      <c r="D66" s="4"/>
      <c r="E66" s="4"/>
      <c r="F66" s="17"/>
      <c r="G66" s="4"/>
    </row>
    <row r="67" spans="3:7" x14ac:dyDescent="0.2">
      <c r="C67" s="18"/>
      <c r="D67" s="4"/>
      <c r="E67" s="4"/>
      <c r="F67" s="17"/>
      <c r="G67" s="4"/>
    </row>
    <row r="68" spans="3:7" x14ac:dyDescent="0.2">
      <c r="C68" s="18"/>
      <c r="D68" s="4"/>
      <c r="E68" s="4"/>
      <c r="F68" s="17"/>
      <c r="G68" s="4"/>
    </row>
    <row r="69" spans="3:7" x14ac:dyDescent="0.2">
      <c r="C69" s="18"/>
      <c r="D69" s="4"/>
      <c r="E69" s="4"/>
      <c r="F69" s="17"/>
      <c r="G69" s="4"/>
    </row>
    <row r="70" spans="3:7" x14ac:dyDescent="0.2">
      <c r="C70" s="19"/>
      <c r="D70" s="4"/>
      <c r="E70" s="4"/>
      <c r="F70" s="20"/>
      <c r="G70" s="4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Hist</vt:lpstr>
      <vt:lpstr>Structure</vt:lpstr>
      <vt:lpstr>Guide</vt:lpstr>
      <vt:lpstr>Table examples</vt:lpstr>
      <vt:lpstr>Pivot table example</vt:lpstr>
      <vt:lpstr>Example</vt:lpstr>
      <vt:lpstr>Example!Print_Area</vt:lpstr>
      <vt:lpstr>Guide!Print_Area</vt:lpstr>
      <vt:lpstr>Hist!Print_Area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2020-01-11T08:45:23Z</cp:lastPrinted>
  <dcterms:created xsi:type="dcterms:W3CDTF">2008-06-07T09:53:51Z</dcterms:created>
  <dcterms:modified xsi:type="dcterms:W3CDTF">2020-02-14T14:16:42Z</dcterms:modified>
</cp:coreProperties>
</file>