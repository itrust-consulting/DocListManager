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NextCloud.itrust.lu\MG\ISMS\01_ITR-ISMS\STA_01-7-C_ITR-XlsTempl\"/>
    </mc:Choice>
  </mc:AlternateContent>
  <xr:revisionPtr revIDLastSave="0" documentId="13_ncr:1_{5A26FB51-AEB6-41C5-A2A9-44581E412E6C}" xr6:coauthVersionLast="45" xr6:coauthVersionMax="45" xr10:uidLastSave="{00000000-0000-0000-0000-000000000000}"/>
  <bookViews>
    <workbookView xWindow="1290" yWindow="-120" windowWidth="27630" windowHeight="16440" tabRatio="733" activeTab="2" xr2:uid="{00000000-000D-0000-FFFF-FFFF00000000}"/>
  </bookViews>
  <sheets>
    <sheet name="Hist" sheetId="3" r:id="rId1"/>
    <sheet name="Structure" sheetId="17" r:id="rId2"/>
    <sheet name="Table examples" sheetId="34" r:id="rId3"/>
    <sheet name="Guide" sheetId="37" r:id="rId4"/>
    <sheet name="Pivot table example" sheetId="36" r:id="rId5"/>
  </sheets>
  <functionGroups builtInGroupCount="19"/>
  <definedNames>
    <definedName name="_xlcn.WorksheetConnection_STA_I173_ITRXlsTempl_v1.1.1cha.xlsmTable31" hidden="1">Table3[]</definedName>
    <definedName name="_xlnm.Print_Area" localSheetId="3">Guide!$A$1:$E$35</definedName>
    <definedName name="_xlnm.Print_Area" localSheetId="0">Hist!$A$1:$D$33</definedName>
    <definedName name="_xlnm.Print_Area" localSheetId="2">'Table examples'!#REF!</definedName>
  </definedNames>
  <calcPr calcId="191029"/>
  <pivotCaches>
    <pivotCache cacheId="0" r:id="rId6"/>
    <pivotCache cacheId="1" r:id="rId7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5" i="34" l="1"/>
  <c r="B13" i="37" a="1"/>
  <c r="B13" i="37" l="1"/>
  <c r="C9" i="3"/>
  <c r="E65" i="34"/>
  <c r="E57" i="34"/>
  <c r="E37" i="34"/>
  <c r="E30" i="34"/>
  <c r="E23" i="34"/>
  <c r="E15" i="34"/>
  <c r="E7" i="34"/>
  <c r="B12" i="37" a="1"/>
  <c r="B12" i="3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<sst xmlns="http://schemas.openxmlformats.org/spreadsheetml/2006/main" count="264" uniqueCount="177">
  <si>
    <t>Version</t>
  </si>
  <si>
    <t>Classification</t>
  </si>
  <si>
    <t>Date</t>
  </si>
  <si>
    <t>Author</t>
  </si>
  <si>
    <t>Role</t>
  </si>
  <si>
    <t>Name</t>
  </si>
  <si>
    <t>Responsability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</si>
  <si>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</si>
  <si>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</si>
  <si>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</si>
  <si>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</si>
  <si>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</si>
  <si>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</si>
  <si>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</si>
  <si>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</si>
  <si>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</si>
  <si>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</si>
  <si>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</si>
  <si>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</si>
  <si>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</si>
  <si>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CISO</t>
  </si>
  <si>
    <t>Managing Director</t>
  </si>
  <si>
    <t>Tab name</t>
  </si>
  <si>
    <t>Approval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</si>
  <si>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</si>
  <si>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</si>
  <si>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</si>
  <si>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</si>
  <si>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</si>
  <si>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</si>
  <si>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</si>
  <si>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</si>
  <si>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</si>
  <si>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</si>
  <si>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</si>
  <si>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</si>
  <si>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</si>
  <si>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</si>
  <si>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</si>
  <si>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</si>
  <si>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</si>
  <si>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</si>
  <si>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</si>
  <si>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</si>
  <si>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I. Senft</t>
  </si>
  <si>
    <t>Reference</t>
  </si>
  <si>
    <t>Application date</t>
  </si>
  <si>
    <t>01-7-C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</si>
  <si>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</si>
  <si>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</si>
  <si>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</si>
  <si>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</si>
  <si>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</si>
  <si>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</si>
  <si>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</si>
  <si>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</si>
  <si>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</si>
  <si>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</si>
  <si>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</si>
  <si>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</si>
  <si>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</si>
  <si>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</si>
  <si>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</si>
  <si>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</si>
  <si>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</si>
  <si>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</si>
  <si>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</si>
  <si>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</si>
  <si>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</si>
  <si>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</si>
  <si>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See printed version 
managed by the CISO</t>
  </si>
  <si>
    <t>Style: Table_B1</t>
  </si>
  <si>
    <t>Column2</t>
  </si>
  <si>
    <t>Column3</t>
  </si>
  <si>
    <t>Column4</t>
  </si>
  <si>
    <t>Column5</t>
  </si>
  <si>
    <t>Style: Table_B2</t>
  </si>
  <si>
    <t>Style: Table_1</t>
  </si>
  <si>
    <t>Style: Table_2</t>
  </si>
  <si>
    <t>Style: Table_3</t>
  </si>
  <si>
    <t>Style: Table_5</t>
  </si>
  <si>
    <t>Style: Table_6</t>
  </si>
  <si>
    <t>Date/Signature</t>
  </si>
  <si>
    <t>1.7</t>
  </si>
  <si>
    <t>Changed Hist according to MAU revision, Projet to Activity in Heading, add style Number, failed to update title in Heading automatically</t>
  </si>
  <si>
    <t>Document history</t>
  </si>
  <si>
    <t>1.8</t>
  </si>
  <si>
    <t>Quality Manager</t>
  </si>
  <si>
    <t>M. Aubigny</t>
  </si>
  <si>
    <t>Use last Version in History, can be changed manuall if different</t>
  </si>
  <si>
    <t>No print area here; add lines before</t>
  </si>
  <si>
    <t>Merge with GenExcel to replace this. Change date format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</si>
  <si>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</si>
  <si>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</si>
  <si>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</si>
  <si>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</si>
  <si>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</si>
  <si>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</si>
  <si>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</si>
  <si>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</si>
  <si>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</si>
  <si>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</si>
  <si>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</si>
  <si>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</si>
  <si>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</si>
  <si>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</si>
  <si>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</si>
  <si>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</si>
  <si>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</si>
  <si>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</si>
  <si>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</si>
  <si>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</si>
  <si>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</si>
  <si>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</si>
  <si>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</si>
  <si>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</si>
  <si>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</si>
  <si>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</si>
  <si>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</si>
  <si>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</si>
  <si>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</si>
  <si>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</si>
  <si>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</si>
  <si>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</si>
  <si>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</si>
  <si>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</si>
  <si>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</si>
  <si>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</si>
  <si>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</si>
  <si>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</si>
  <si>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</si>
  <si>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</si>
  <si>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</si>
  <si>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</si>
  <si>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</si>
  <si>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</si>
  <si>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</si>
  <si>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</si>
  <si>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</si>
  <si>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</si>
  <si>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</si>
  <si>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</si>
  <si>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</si>
  <si>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</si>
  <si>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</si>
  <si>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</si>
  <si>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</si>
  <si>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</si>
  <si>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</si>
  <si>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</si>
  <si>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</si>
  <si>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</si>
  <si>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</si>
  <si>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</si>
  <si>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</si>
  <si>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</si>
  <si>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</si>
  <si>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</si>
  <si>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</si>
  <si>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</si>
  <si>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</si>
  <si>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</si>
  <si>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</si>
  <si>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</si>
  <si>
    <t xml:space="preserve">Table examples </t>
  </si>
  <si>
    <t>1.8.1</t>
  </si>
  <si>
    <t>Corrected styles to use Default (Body), not Heading. Change date format to dd.mm.yy</t>
  </si>
  <si>
    <t>Simplify Hist</t>
  </si>
  <si>
    <t>1.8.3</t>
  </si>
  <si>
    <t>Table_4</t>
  </si>
  <si>
    <t>1.9</t>
  </si>
  <si>
    <t>Align Tables with CGIE</t>
  </si>
  <si>
    <t>1. Activate macros; (if not yet done, and save document as *.xlsm"
2. Create (Open Developer &gt; Visual Basi &gt; Insert Module &gt; Copy this following 3 lines into this module): 
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</si>
  <si>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>1.9.1</t>
  </si>
  <si>
    <t>Better explain how to install the macro IsFilled.</t>
  </si>
  <si>
    <t>2.0</t>
  </si>
  <si>
    <t>Update theme, review Table_B1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</si>
</sst>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]dd\ mmmyy;@"/>
    <numFmt numFmtId="165" formatCode="dd\.mm\.yy"/>
  </numFmts>
  <fonts count="21" x14ac:knownFonts="1">
    <font>
      <sz val="8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1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2"/>
      <color theme="1"/>
      <name val="Corbel"/>
      <family val="2"/>
      <scheme val="minor"/>
    </font>
    <font>
      <b/>
      <sz val="12"/>
      <color theme="1"/>
      <name val="Century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8">
    <xf numFmtId="0" fontId="0" fillId="0" borderId="0"/>
    <xf numFmtId="0" fontId="18" fillId="12" borderId="1" applyNumberFormat="0" applyProtection="0">
      <alignment horizontal="center" vertical="center"/>
    </xf>
    <xf numFmtId="0" fontId="10" fillId="13" borderId="1" applyNumberFormat="0" applyProtection="0">
      <alignment horizontal="center" vertical="center"/>
    </xf>
    <xf numFmtId="0" fontId="11" fillId="14" borderId="1" applyNumberFormat="0" applyProtection="0">
      <alignment horizontal="left" vertical="center" indent="1"/>
    </xf>
    <xf numFmtId="0" fontId="12" fillId="2" borderId="1" applyNumberFormat="0" applyProtection="0">
      <alignment horizontal="left" vertical="center" indent="1"/>
    </xf>
    <xf numFmtId="0" fontId="13" fillId="0" borderId="0" applyFill="0" applyBorder="0" applyProtection="0">
      <alignment horizontal="left" vertical="top" wrapText="1" indent="1"/>
    </xf>
    <xf numFmtId="0" fontId="8" fillId="0" borderId="0" applyNumberFormat="0" applyFill="0" applyBorder="0" applyAlignment="0" applyProtection="0"/>
    <xf numFmtId="0" fontId="9" fillId="0" borderId="11" applyNumberFormat="0" applyFill="0" applyAlignment="0" applyProtection="0"/>
    <xf numFmtId="165" fontId="13" fillId="0" borderId="2">
      <alignment horizontal="left" vertical="top" indent="1"/>
    </xf>
    <xf numFmtId="0" fontId="17" fillId="0" borderId="1">
      <alignment horizontal="right" wrapText="1" indent="1"/>
    </xf>
    <xf numFmtId="4" fontId="13" fillId="0" borderId="0">
      <alignment horizontal="right" vertical="top" wrapText="1" indent="1"/>
    </xf>
    <xf numFmtId="0" fontId="13" fillId="0" borderId="2">
      <alignment horizontal="left" vertical="top" indent="1"/>
    </xf>
    <xf numFmtId="0" fontId="19" fillId="10" borderId="15">
      <alignment horizontal="left" vertical="top" wrapText="1" indent="1"/>
    </xf>
    <xf numFmtId="0" fontId="20" fillId="8" borderId="16">
      <alignment horizontal="left" vertical="center" indent="1"/>
    </xf>
    <xf numFmtId="0" fontId="20" fillId="9" borderId="17">
      <alignment horizontal="left" vertical="center" indent="1"/>
    </xf>
    <xf numFmtId="0" fontId="16" fillId="5" borderId="19">
      <alignment horizontal="left" vertical="center" indent="1"/>
    </xf>
    <xf numFmtId="0" fontId="16" fillId="6" borderId="1">
      <alignment horizontal="left" vertical="center" indent="1"/>
    </xf>
    <xf numFmtId="0" fontId="16" fillId="11" borderId="20">
      <alignment horizontal="left" vertical="center" indent="1"/>
    </xf>
  </cellStyleXfs>
  <cellXfs count="78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13" fillId="0" borderId="0" xfId="5">
      <alignment horizontal="left" vertical="top" wrapText="1" indent="1"/>
    </xf>
    <xf numFmtId="0" fontId="11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2" fillId="2" borderId="1" xfId="4" applyBorder="1">
      <alignment horizontal="left" vertical="center" indent="1"/>
    </xf>
    <xf numFmtId="165" fontId="13" fillId="0" borderId="2" xfId="8">
      <alignment horizontal="left" vertical="top" indent="1"/>
    </xf>
    <xf numFmtId="0" fontId="12" fillId="2" borderId="1" xfId="4">
      <alignment horizontal="left" vertical="center" indent="1"/>
    </xf>
    <xf numFmtId="0" fontId="13" fillId="0" borderId="1" xfId="5" applyBorder="1">
      <alignment horizontal="left" vertical="top" wrapText="1" indent="1"/>
    </xf>
    <xf numFmtId="0" fontId="13" fillId="0" borderId="0" xfId="5" applyAlignment="1">
      <alignment horizontal="left" vertical="top" indent="1"/>
    </xf>
    <xf numFmtId="0" fontId="13" fillId="0" borderId="0" xfId="5" applyAlignment="1">
      <alignment horizontal="left" vertical="top" wrapText="1" indent="1"/>
    </xf>
    <xf numFmtId="0" fontId="14" fillId="0" borderId="0" xfId="5" applyFont="1" applyAlignment="1">
      <alignment horizontal="left" vertical="top" indent="1"/>
    </xf>
    <xf numFmtId="0" fontId="14" fillId="0" borderId="0" xfId="5" applyFont="1" applyAlignment="1">
      <alignment horizontal="left" vertical="top" wrapText="1" indent="1"/>
    </xf>
    <xf numFmtId="0" fontId="13" fillId="0" borderId="2" xfId="5" applyBorder="1" applyAlignment="1">
      <alignment horizontal="left" vertical="top" wrapText="1" indent="1"/>
    </xf>
    <xf numFmtId="0" fontId="13" fillId="0" borderId="4" xfId="5" applyBorder="1">
      <alignment horizontal="left" vertical="top" wrapText="1" indent="1"/>
    </xf>
    <xf numFmtId="0" fontId="13" fillId="0" borderId="2" xfId="5" applyBorder="1">
      <alignment horizontal="left" vertical="top" wrapText="1" indent="1"/>
    </xf>
    <xf numFmtId="0" fontId="12" fillId="2" borderId="1" xfId="4">
      <alignment horizontal="left" vertical="center" indent="1"/>
    </xf>
    <xf numFmtId="0" fontId="16" fillId="0" borderId="0" xfId="5" applyFont="1">
      <alignment horizontal="left" vertical="top" wrapText="1" indent="1"/>
    </xf>
    <xf numFmtId="0" fontId="13" fillId="7" borderId="0" xfId="5" applyFill="1">
      <alignment horizontal="left" vertical="top" wrapText="1" indent="1"/>
    </xf>
    <xf numFmtId="0" fontId="2" fillId="0" borderId="0" xfId="0" applyFont="1" applyAlignment="1">
      <alignment vertical="center"/>
    </xf>
    <xf numFmtId="0" fontId="13" fillId="0" borderId="8" xfId="5" applyBorder="1">
      <alignment horizontal="left" vertical="top" wrapText="1" indent="1"/>
    </xf>
    <xf numFmtId="0" fontId="13" fillId="0" borderId="7" xfId="5" applyBorder="1" applyAlignment="1">
      <alignment horizontal="left" vertical="top" wrapText="1" indent="1"/>
    </xf>
    <xf numFmtId="0" fontId="12" fillId="2" borderId="1" xfId="4">
      <alignment horizontal="left" vertical="center" indent="1"/>
    </xf>
    <xf numFmtId="0" fontId="13" fillId="0" borderId="2" xfId="5" applyBorder="1">
      <alignment horizontal="left" vertical="top" wrapText="1" indent="1"/>
    </xf>
    <xf numFmtId="0" fontId="13" fillId="0" borderId="1" xfId="5" applyBorder="1">
      <alignment horizontal="left" vertical="top" wrapText="1" indent="1"/>
    </xf>
    <xf numFmtId="0" fontId="11" fillId="14" borderId="1" xfId="3" applyBorder="1">
      <alignment horizontal="left" vertical="center" indent="1"/>
    </xf>
    <xf numFmtId="0" fontId="13" fillId="0" borderId="7" xfId="5" applyBorder="1">
      <alignment horizontal="left" vertical="top" wrapText="1" indent="1"/>
    </xf>
    <xf numFmtId="0" fontId="3" fillId="3" borderId="14" xfId="0" applyFont="1" applyFill="1" applyBorder="1" applyAlignment="1">
      <alignment vertical="center"/>
    </xf>
    <xf numFmtId="0" fontId="12" fillId="2" borderId="1" xfId="4" applyAlignment="1">
      <alignment horizontal="left" vertical="center" wrapText="1" indent="1"/>
    </xf>
    <xf numFmtId="0" fontId="12" fillId="2" borderId="1" xfId="4">
      <alignment horizontal="left" vertical="center" indent="1"/>
    </xf>
    <xf numFmtId="0" fontId="13" fillId="0" borderId="2" xfId="5" applyBorder="1">
      <alignment horizontal="left" vertical="top" wrapText="1" indent="1"/>
    </xf>
    <xf numFmtId="0" fontId="13" fillId="0" borderId="7" xfId="5" applyBorder="1">
      <alignment horizontal="left" vertical="top" wrapText="1" indent="1"/>
    </xf>
    <xf numFmtId="0" fontId="13" fillId="0" borderId="2" xfId="11">
      <alignment horizontal="left" vertical="top" indent="1"/>
    </xf>
    <xf numFmtId="0" fontId="17" fillId="0" borderId="1" xfId="9">
      <alignment horizontal="right" wrapText="1" indent="1"/>
    </xf>
    <xf numFmtId="164" fontId="12" fillId="2" borderId="1" xfId="4" applyNumberFormat="1">
      <alignment horizontal="left" vertical="center" indent="1"/>
    </xf>
    <xf numFmtId="0" fontId="13" fillId="0" borderId="0" xfId="5" applyAlignment="1">
      <alignment horizontal="left" vertical="top" wrapText="1"/>
    </xf>
    <xf numFmtId="0" fontId="3" fillId="0" borderId="0" xfId="0" applyFont="1" applyAlignment="1">
      <alignment vertical="center" wrapText="1"/>
    </xf>
    <xf numFmtId="165" fontId="13" fillId="0" borderId="2" xfId="8">
      <alignment horizontal="left" vertical="top" indent="1"/>
    </xf>
    <xf numFmtId="165" fontId="13" fillId="0" borderId="2" xfId="8">
      <alignment horizontal="left" vertical="top" indent="1"/>
    </xf>
    <xf numFmtId="0" fontId="13" fillId="0" borderId="0" xfId="5" applyBorder="1">
      <alignment horizontal="left" vertical="top" wrapText="1" indent="1"/>
    </xf>
    <xf numFmtId="165" fontId="13" fillId="0" borderId="2" xfId="8">
      <alignment horizontal="left" vertical="top" indent="1"/>
    </xf>
    <xf numFmtId="165" fontId="13" fillId="0" borderId="2" xfId="8">
      <alignment horizontal="left" vertical="top" indent="1"/>
    </xf>
    <xf numFmtId="0" fontId="1" fillId="0" borderId="14" xfId="0" applyFont="1" applyBorder="1" applyAlignment="1">
      <alignment vertical="center" wrapText="1"/>
    </xf>
    <xf numFmtId="0" fontId="3" fillId="0" borderId="14" xfId="0" applyFont="1" applyFill="1" applyBorder="1" applyAlignment="1">
      <alignment vertical="center"/>
    </xf>
    <xf numFmtId="0" fontId="13" fillId="0" borderId="0" xfId="5" applyFill="1">
      <alignment horizontal="left" vertical="top" wrapText="1" indent="1"/>
    </xf>
    <xf numFmtId="0" fontId="13" fillId="0" borderId="0" xfId="0" applyNumberFormat="1" applyFont="1" applyFill="1" applyAlignment="1">
      <alignment horizontal="left" vertical="top" wrapText="1" indent="1"/>
    </xf>
    <xf numFmtId="0" fontId="13" fillId="0" borderId="0" xfId="5" applyFill="1" applyAlignment="1">
      <alignment horizontal="left" vertical="top" indent="1"/>
    </xf>
    <xf numFmtId="0" fontId="12" fillId="2" borderId="13" xfId="4" applyBorder="1" applyAlignment="1">
      <alignment horizontal="right" vertical="center" indent="1"/>
    </xf>
    <xf numFmtId="0" fontId="13" fillId="0" borderId="12" xfId="5" applyBorder="1">
      <alignment horizontal="left" vertical="top" wrapText="1" indent="1"/>
    </xf>
    <xf numFmtId="0" fontId="13" fillId="0" borderId="13" xfId="5" applyBorder="1">
      <alignment horizontal="left" vertical="top" wrapText="1" indent="1"/>
    </xf>
    <xf numFmtId="0" fontId="13" fillId="0" borderId="6" xfId="5" applyBorder="1">
      <alignment horizontal="left" vertical="top" wrapText="1" indent="1"/>
    </xf>
    <xf numFmtId="0" fontId="13" fillId="0" borderId="5" xfId="5" applyBorder="1">
      <alignment horizontal="left" vertical="top" wrapText="1" indent="1"/>
    </xf>
    <xf numFmtId="0" fontId="4" fillId="0" borderId="0" xfId="0" applyFont="1" applyAlignment="1">
      <alignment horizontal="left" vertical="center"/>
    </xf>
    <xf numFmtId="0" fontId="11" fillId="14" borderId="1" xfId="3">
      <alignment horizontal="left" vertical="center" indent="1"/>
    </xf>
    <xf numFmtId="0" fontId="3" fillId="0" borderId="3" xfId="0" applyFont="1" applyBorder="1" applyAlignment="1">
      <alignment horizontal="center" vertical="center"/>
    </xf>
    <xf numFmtId="165" fontId="13" fillId="0" borderId="2" xfId="8">
      <alignment horizontal="left" vertical="top" indent="1"/>
    </xf>
    <xf numFmtId="0" fontId="12" fillId="2" borderId="5" xfId="4" applyBorder="1" applyAlignment="1">
      <alignment horizontal="right" vertical="center" indent="1"/>
    </xf>
    <xf numFmtId="0" fontId="18" fillId="12" borderId="1" xfId="1" applyBorder="1">
      <alignment horizontal="center" vertical="center"/>
    </xf>
    <xf numFmtId="0" fontId="10" fillId="13" borderId="1" xfId="2" applyBorder="1">
      <alignment horizontal="center" vertical="center"/>
    </xf>
    <xf numFmtId="0" fontId="11" fillId="14" borderId="1" xfId="3" applyBorder="1">
      <alignment horizontal="left" vertical="center" indent="1"/>
    </xf>
    <xf numFmtId="0" fontId="12" fillId="2" borderId="10" xfId="4" applyBorder="1" applyAlignment="1">
      <alignment horizontal="right" vertical="center" indent="1"/>
    </xf>
    <xf numFmtId="0" fontId="13" fillId="0" borderId="2" xfId="5" applyBorder="1">
      <alignment horizontal="left" vertical="top" wrapText="1" indent="1"/>
    </xf>
    <xf numFmtId="0" fontId="20" fillId="9" borderId="17" xfId="14">
      <alignment horizontal="left" vertical="center" indent="1"/>
    </xf>
    <xf numFmtId="0" fontId="19" fillId="10" borderId="15" xfId="12">
      <alignment horizontal="left" vertical="top" wrapText="1" indent="1"/>
    </xf>
    <xf numFmtId="0" fontId="15" fillId="4" borderId="1" xfId="5" applyFont="1" applyFill="1" applyBorder="1" applyAlignment="1">
      <alignment horizontal="left" vertical="center" wrapText="1" indent="1"/>
    </xf>
    <xf numFmtId="0" fontId="20" fillId="8" borderId="0" xfId="13" applyBorder="1">
      <alignment horizontal="left" vertical="center" indent="1"/>
    </xf>
    <xf numFmtId="0" fontId="16" fillId="5" borderId="18" xfId="15" applyBorder="1">
      <alignment horizontal="left" vertical="center" indent="1"/>
    </xf>
    <xf numFmtId="0" fontId="16" fillId="6" borderId="1" xfId="16">
      <alignment horizontal="left" vertical="center" indent="1"/>
    </xf>
    <xf numFmtId="0" fontId="16" fillId="11" borderId="20" xfId="17">
      <alignment horizontal="left" vertical="center" indent="1"/>
    </xf>
    <xf numFmtId="0" fontId="18" fillId="12" borderId="2" xfId="1" applyBorder="1" applyAlignment="1">
      <alignment horizontal="center" vertical="center"/>
    </xf>
    <xf numFmtId="0" fontId="18" fillId="12" borderId="4" xfId="1" applyBorder="1" applyAlignment="1">
      <alignment horizontal="center" vertical="center"/>
    </xf>
    <xf numFmtId="0" fontId="10" fillId="13" borderId="1" xfId="2">
      <alignment horizontal="center" vertical="center"/>
    </xf>
  </cellXfs>
  <cellStyles count="18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umber" xfId="10" xr:uid="{BB0F20D5-51C4-41B0-9CAA-D44405F8967A}"/>
    <cellStyle name="Signature" xfId="9" xr:uid="{062DEF26-C482-4649-BE84-11BEC5E59865}"/>
    <cellStyle name="TabHeader_1" xfId="15" xr:uid="{BF8C586F-D1F9-45EB-A914-10830BCED847}"/>
    <cellStyle name="TabHeader_2" xfId="16" xr:uid="{E48487A8-277F-428C-80B3-3B2828240E89}"/>
    <cellStyle name="TabHeader_3" xfId="17" xr:uid="{FD725159-3D02-4DB9-BEDA-AE3F4CA7CE94}"/>
    <cellStyle name="TabHeader_4" xfId="13" xr:uid="{F92C7780-1008-4770-8CCA-B088EA31DA6A}"/>
    <cellStyle name="TabHeader_5" xfId="14" xr:uid="{0D467430-E047-4559-A7B5-4736203ADF8E}"/>
    <cellStyle name="TabHeader_6" xfId="12" xr:uid="{6161DFAD-A9A7-4C30-A384-A8B69C45D0C0}"/>
    <cellStyle name="Title" xfId="6" builtinId="15" hidden="1"/>
    <cellStyle name="Total" xfId="7" builtinId="25" hidden="1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0" defaultTableStyle="Table_1" defaultPivotStyle="PivotStyleLight16">
    <tableStyle name="PivotTable_1" table="0" count="14" xr9:uid="{D6F9E536-AE99-4E1F-9899-8EE2952B81D7}">
      <tableStyleElement type="headerRow" dxfId="113"/>
      <tableStyleElement type="totalRow" dxfId="112"/>
      <tableStyleElement type="firstColumn" dxfId="111"/>
      <tableStyleElement type="lastColumn" dxfId="110"/>
      <tableStyleElement type="firstSubtotalColumn" dxfId="109"/>
      <tableStyleElement type="secondSubtotalColumn" dxfId="108"/>
      <tableStyleElement type="firstSubtotalRow" dxfId="107"/>
      <tableStyleElement type="secondSubtotalRow" dxfId="106"/>
      <tableStyleElement type="firstColumnSubheading" dxfId="105"/>
      <tableStyleElement type="secondColumnSubheading" dxfId="104"/>
      <tableStyleElement type="firstRowSubheading" dxfId="103"/>
      <tableStyleElement type="secondRowSubheading" dxfId="102"/>
      <tableStyleElement type="thirdRowSubheading" dxfId="101"/>
      <tableStyleElement type="pageFieldLabels" dxfId="100"/>
    </tableStyle>
    <tableStyle name="PivotTable_2" table="0" count="14" xr9:uid="{98FAD84F-B566-4FA3-AD06-8E8BA71A9B10}">
      <tableStyleElement type="headerRow" dxfId="99"/>
      <tableStyleElement type="totalRow" dxfId="98"/>
      <tableStyleElement type="firstColumn" dxfId="97"/>
      <tableStyleElement type="lastColumn" dxfId="96"/>
      <tableStyleElement type="firstSubtotalColumn" dxfId="95"/>
      <tableStyleElement type="secondSubtotalColumn" dxfId="94"/>
      <tableStyleElement type="firstSubtotalRow" dxfId="93"/>
      <tableStyleElement type="secondSubtotalRow" dxfId="92"/>
      <tableStyleElement type="firstColumnSubheading" dxfId="91"/>
      <tableStyleElement type="secondColumnSubheading" dxfId="90"/>
      <tableStyleElement type="firstRowSubheading" dxfId="89"/>
      <tableStyleElement type="secondRowSubheading" dxfId="88"/>
      <tableStyleElement type="thirdRowSubheading" dxfId="87"/>
      <tableStyleElement type="pageFieldLabels" dxfId="86"/>
    </tableStyle>
    <tableStyle name="Table_1" pivot="0" count="7" xr9:uid="{00000000-0011-0000-FFFF-FFFF04000000}">
      <tableStyleElement type="wholeTable" dxfId="85"/>
      <tableStyleElement type="headerRow" dxfId="84"/>
      <tableStyleElement type="totalRow" dxfId="83"/>
      <tableStyleElement type="firstColumn" dxfId="82"/>
      <tableStyleElement type="lastColumn" dxfId="81"/>
      <tableStyleElement type="secondRowStripe" dxfId="80"/>
      <tableStyleElement type="firstColumnStripe" dxfId="79"/>
    </tableStyle>
    <tableStyle name="Table_2" pivot="0" count="7" xr9:uid="{00000000-0011-0000-FFFF-FFFF00000000}">
      <tableStyleElement type="wholeTable" dxfId="78"/>
      <tableStyleElement type="headerRow" dxfId="77"/>
      <tableStyleElement type="totalRow" dxfId="76"/>
      <tableStyleElement type="firstColumn" dxfId="75"/>
      <tableStyleElement type="lastColumn" dxfId="74"/>
      <tableStyleElement type="secondRowStripe" dxfId="73"/>
      <tableStyleElement type="firstColumnStripe" dxfId="72"/>
    </tableStyle>
    <tableStyle name="Table_3" pivot="0" count="7" xr9:uid="{00000000-0011-0000-FFFF-FFFF01000000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secondRowStripe" dxfId="66"/>
      <tableStyleElement type="firstColumnStripe" dxfId="65"/>
    </tableStyle>
    <tableStyle name="Table_4" pivot="0" count="9" xr9:uid="{0C0AE644-A081-4FE0-BFB2-E01EC15AADD2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  <tableStyleElement type="secondColumnStripe" dxfId="56"/>
    </tableStyle>
    <tableStyle name="Table_5" pivot="0" count="7" xr9:uid="{288A2F39-F8C3-41A8-8C0A-250B6EDA926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secondRowStripe" dxfId="50"/>
      <tableStyleElement type="firstColumnStripe" dxfId="49"/>
    </tableStyle>
    <tableStyle name="Table_6" pivot="0" count="7" xr9:uid="{92679619-5CE3-4163-A09C-BE8399647A9B}">
      <tableStyleElement type="wholeTable" dxfId="48"/>
      <tableStyleElement type="headerRow" dxfId="47"/>
      <tableStyleElement type="totalRow" dxfId="46"/>
      <tableStyleElement type="firstColumn" dxfId="45"/>
      <tableStyleElement type="lastColumn" dxfId="44"/>
      <tableStyleElement type="secondRowStripe" dxfId="43"/>
      <tableStyleElement type="firstColumnStripe" dxfId="42"/>
    </tableStyle>
    <tableStyle name="Table_B1" pivot="0" count="8" xr9:uid="{D25C43D6-AF28-4C9B-8C2A-602AEEF2492E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secondRowStripe" dxfId="36"/>
      <tableStyleElement type="firstColumnStripe" dxfId="35"/>
      <tableStyleElement type="secondColumnStripe" dxfId="34"/>
    </tableStyle>
    <tableStyle name="Table_B2" pivot="0" count="8" xr9:uid="{5B5A6AAA-A4F0-4B53-A8ED-7DD903B2BB95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secondRowStripe" dxfId="28"/>
      <tableStyleElement type="firstColumnStripe" dxfId="27"/>
      <tableStyleElement type="secondColumnStrip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9:D27" totalsRowShown="0" tableBorderDxfId="25" totalsRowBorderDxfId="24" headerRowCellStyle="Heading 4">
  <autoFilter ref="A19:D27" xr:uid="{DA53C3ED-75C2-4120-8DA7-F55F0FDEA131}"/>
  <tableColumns count="4">
    <tableColumn id="1" xr3:uid="{20333092-3320-4F4E-8B50-C3164A702ECA}" name="Version" dataDxfId="23" dataCellStyle="Cell-Normal"/>
    <tableColumn id="2" xr3:uid="{C4BF1A7A-5343-4ED3-B424-F1E933EE432F}" name="Date" dataCellStyle="Date"/>
    <tableColumn id="3" xr3:uid="{681AA722-74A6-4306-8999-B4E50BAAA429}" name="Author" dataDxfId="22" dataCellStyle="Cell-Normal"/>
    <tableColumn id="4" xr3:uid="{8522AC1F-D7AD-44E7-8FE7-7BF2C67B35A1}" name="Change management" dataDxfId="21" dataCellStyle="Cell-Normal"/>
  </tableColumns>
  <tableStyleInfo name="Table_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14" headerRowCellStyle="Heading 3" dataCellStyle="Cell-Normal">
  <autoFilter ref="A1:D6" xr:uid="{00000000-0009-0000-0100-000003000000}"/>
  <tableColumns count="4">
    <tableColumn id="1" xr3:uid="{00000000-0010-0000-0000-000001000000}" name="Tab name" dataCellStyle="Heading 4"/>
    <tableColumn id="2" xr3:uid="{00000000-0010-0000-0000-000002000000}" name="Contents" dataCellStyle="Cell-Normal"/>
    <tableColumn id="3" xr3:uid="{00000000-0010-0000-0000-000003000000}" name="Comments" dataCellStyle="Cell-Normal"/>
    <tableColumn id="4" xr3:uid="{1B8FDF6E-4960-4789-98B3-58D222A2D1F8}" name="Void" dataCellStyle="Cell-Normal"/>
  </tableColumns>
  <tableStyleInfo name="Table_B2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18:E23" totalsRowCount="1" headerRowDxfId="13" headerRowCellStyle="Cell-Normal" dataCellStyle="Cell-Normal" totalsRowCellStyle="Cell-Normal">
  <autoFilter ref="A18:E22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26:E30" totalsRowCount="1" headerRowCellStyle="Cell-Normal" dataCellStyle="Cell-Normal" totalsRowCellStyle="Cell-Normal">
  <autoFilter ref="A26:E29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33:E37" totalsRowCount="1" headerRowCellStyle="Cell-Normal" dataCellStyle="Cell-Normal" totalsRowCellStyle="Cell-Normal">
  <autoFilter ref="A33:E36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52:E57" totalsRowCount="1" headerRowCellStyle="Cell-Normal" dataCellStyle="Cell-Normal" totalsRowCellStyle="Cell-Normal">
  <autoFilter ref="A52:E56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A10:E15" totalsRowCount="1" headerRowDxfId="12" dataDxfId="11" totalsRowDxfId="10" headerRowCellStyle="Cell-Normal" dataCellStyle="Cell-Normal" totalsRowCellStyle="Cell-Normal">
  <autoFilter ref="A10:E14" xr:uid="{5317D78D-F95E-425D-92EB-6B5E44C1F543}"/>
  <tableColumns count="5">
    <tableColumn id="1" xr3:uid="{C8634700-9AFB-453E-8F5C-D7F057A8A3C5}" name="Column1" totalsRowLabel="Total" dataDxfId="9" totalsRowDxfId="4" dataCellStyle="Cell-Normal"/>
    <tableColumn id="2" xr3:uid="{66443FBD-41AF-4B89-A386-A2771CFDAF23}" name="Column2" dataDxfId="8" totalsRowDxfId="3" dataCellStyle="Cell-Normal"/>
    <tableColumn id="3" xr3:uid="{62F7A6A0-964E-405E-8E4E-8798822B93C0}" name="Column3" dataDxfId="7" totalsRowDxfId="2" dataCellStyle="Cell-Normal"/>
    <tableColumn id="4" xr3:uid="{7D710518-CDFE-4A24-9BCC-43FCFEDCD002}" name="Column4" dataDxfId="6" totalsRowDxfId="1" dataCellStyle="Cell-Normal"/>
    <tableColumn id="5" xr3:uid="{5F22A5D8-B584-4A9A-B2D7-6E4FDBBF9736}" name="Column5" totalsRowFunction="count" dataDxfId="5" totalsRowDxfId="0" dataCellStyle="Cell-Normal"/>
  </tableColumns>
  <tableStyleInfo name="Table_B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60:E65" totalsRowCount="1" headerRowCellStyle="Cell-Normal" dataCellStyle="Cell-Normal" totalsRowCellStyle="Cell-Normal">
  <autoFilter ref="A60:E64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A2:E7" totalsRowCount="1" headerRowCellStyle="Cell-Normal" dataCellStyle="Cell-Normal" totalsRowCellStyle="Cell-Normal">
  <autoFilter ref="A2:E6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B1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560E18-3CCE-4E20-8CB0-646A5785EE15}" name="Table_5218" displayName="Table_5218" ref="A40:E45" totalsRowCount="1" headerRowCellStyle="Cell-Normal" dataCellStyle="Cell-Normal" totalsRowCellStyle="Cell-Normal">
  <autoFilter ref="A40:E44" xr:uid="{D2EEB861-6035-44AE-B8A7-547D6DB20186}"/>
  <tableColumns count="5">
    <tableColumn id="1" xr3:uid="{41E796CA-2979-45C6-9601-F15CBAA0D231}" name="Column1" totalsRowLabel="Total" dataCellStyle="Cell-Normal" totalsRowCellStyle="Cell-Normal"/>
    <tableColumn id="2" xr3:uid="{742E6B39-4BF0-4CAE-A83A-F45F45BE0479}" name="Column2" dataCellStyle="Cell-Normal" totalsRowCellStyle="Cell-Normal"/>
    <tableColumn id="3" xr3:uid="{18339BC6-386D-4D9C-8934-F0086A4B667F}" name="Column3" dataCellStyle="Cell-Normal" totalsRowCellStyle="Cell-Normal"/>
    <tableColumn id="4" xr3:uid="{F4812695-3676-456E-AFE0-192F1C008A19}" name="Column4" dataCellStyle="Cell-Normal" totalsRowCellStyle="Cell-Normal"/>
    <tableColumn id="5" xr3:uid="{A66640BF-95CD-48D7-93E1-083E6976AF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B2" showFirstColumn="1" showLastColumn="0" showRowStripes="0" showColumnStripes="0"/>
</table>
</file>

<file path=xl/theme/theme1.xml><?xml version="1.0" encoding="utf-8"?>
<a:theme xmlns:a="http://schemas.openxmlformats.org/drawingml/2006/main" name="ITR3">
  <a:themeElements>
    <a:clrScheme name="ITR3">
      <a:dk1>
        <a:sysClr val="windowText" lastClr="000000"/>
      </a:dk1>
      <a:lt1>
        <a:sysClr val="window" lastClr="FFFFFF"/>
      </a:lt1>
      <a:dk2>
        <a:srgbClr val="9E88B8"/>
      </a:dk2>
      <a:lt2>
        <a:srgbClr val="FBFAFC"/>
      </a:lt2>
      <a:accent1>
        <a:srgbClr val="9E88B8"/>
      </a:accent1>
      <a:accent2>
        <a:srgbClr val="F28855"/>
      </a:accent2>
      <a:accent3>
        <a:srgbClr val="0B3951"/>
      </a:accent3>
      <a:accent4>
        <a:srgbClr val="FFF26E"/>
      </a:accent4>
      <a:accent5>
        <a:srgbClr val="E61F3D"/>
      </a:accent5>
      <a:accent6>
        <a:srgbClr val="92D050"/>
      </a:accent6>
      <a:hlink>
        <a:srgbClr val="002060"/>
      </a:hlink>
      <a:folHlink>
        <a:srgbClr val="0070C0"/>
      </a:folHlink>
    </a:clrScheme>
    <a:fontScheme name="ITR2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34"/>
  <sheetViews>
    <sheetView view="pageLayout" topLeftCell="A7" zoomScale="110" zoomScaleNormal="85" zoomScalePageLayoutView="110" workbookViewId="0">
      <selection activeCell="A20" sqref="A20"/>
    </sheetView>
  </sheetViews>
  <sheetFormatPr defaultColWidth="9.1640625" defaultRowHeight="15" x14ac:dyDescent="0.2"/>
  <cols>
    <col min="1" max="1" width="14" style="1" customWidth="1"/>
    <col min="2" max="2" width="12.33203125" style="1" customWidth="1"/>
    <col min="3" max="3" width="21.83203125" style="1" customWidth="1"/>
    <col min="4" max="4" width="65.33203125" style="1" customWidth="1"/>
    <col min="5" max="16384" width="9.1640625" style="1"/>
  </cols>
  <sheetData>
    <row r="1" spans="1:7" ht="22.5" x14ac:dyDescent="0.2">
      <c r="A1" s="63" t="s">
        <v>13</v>
      </c>
      <c r="B1" s="63"/>
      <c r="C1" s="63"/>
      <c r="D1" s="63"/>
    </row>
    <row r="2" spans="1:7" s="2" customFormat="1" ht="23.25" x14ac:dyDescent="0.2">
      <c r="A2" s="64" t="s">
        <v>27</v>
      </c>
      <c r="B2" s="64"/>
      <c r="C2" s="64"/>
      <c r="D2" s="64"/>
    </row>
    <row r="3" spans="1:7" x14ac:dyDescent="0.2">
      <c r="A3" s="60"/>
      <c r="B3" s="60"/>
      <c r="C3" s="60"/>
      <c r="D3" s="60"/>
      <c r="G3" s="35"/>
    </row>
    <row r="4" spans="1:7" ht="15.75" x14ac:dyDescent="0.2">
      <c r="A4" s="65" t="s">
        <v>17</v>
      </c>
      <c r="B4" s="65"/>
      <c r="C4" s="65"/>
      <c r="D4" s="65"/>
    </row>
    <row r="5" spans="1:7" s="3" customFormat="1" ht="14.25" x14ac:dyDescent="0.2">
      <c r="A5" s="66" t="s">
        <v>45</v>
      </c>
      <c r="B5" s="66"/>
      <c r="C5" s="67" t="s">
        <v>47</v>
      </c>
      <c r="D5" s="67"/>
    </row>
    <row r="6" spans="1:7" s="3" customFormat="1" ht="14.25" x14ac:dyDescent="0.2">
      <c r="A6" s="53" t="s">
        <v>0</v>
      </c>
      <c r="B6" s="53"/>
      <c r="C6" s="54" t="s">
        <v>170</v>
      </c>
      <c r="D6" s="55"/>
      <c r="F6" s="25" t="s">
        <v>89</v>
      </c>
    </row>
    <row r="7" spans="1:7" s="3" customFormat="1" ht="14.25" x14ac:dyDescent="0.2">
      <c r="A7" s="53" t="s">
        <v>8</v>
      </c>
      <c r="B7" s="53"/>
      <c r="C7" s="54" t="s">
        <v>18</v>
      </c>
      <c r="D7" s="55"/>
    </row>
    <row r="8" spans="1:7" s="3" customFormat="1" ht="14.25" x14ac:dyDescent="0.2">
      <c r="A8" s="53" t="s">
        <v>7</v>
      </c>
      <c r="B8" s="53"/>
      <c r="C8" s="54" t="s">
        <v>20</v>
      </c>
      <c r="D8" s="55"/>
    </row>
    <row r="9" spans="1:7" s="3" customFormat="1" ht="14.25" x14ac:dyDescent="0.2">
      <c r="A9" s="53" t="s">
        <v>46</v>
      </c>
      <c r="B9" s="53"/>
      <c r="C9" s="61">
        <f>INDEX(Table1[#All],ROWS(Table1[#All]),2)</f>
        <v>43904</v>
      </c>
      <c r="D9" s="61"/>
      <c r="F9" s="25" t="s">
        <v>89</v>
      </c>
    </row>
    <row r="10" spans="1:7" s="3" customFormat="1" ht="14.25" x14ac:dyDescent="0.2">
      <c r="A10" s="62" t="s">
        <v>1</v>
      </c>
      <c r="B10" s="62"/>
      <c r="C10" s="56" t="s">
        <v>24</v>
      </c>
      <c r="D10" s="57"/>
    </row>
    <row r="11" spans="1:7" s="3" customFormat="1" ht="12.75" x14ac:dyDescent="0.2">
      <c r="A11" s="58"/>
      <c r="B11" s="58"/>
      <c r="C11" s="58"/>
      <c r="D11" s="58"/>
    </row>
    <row r="12" spans="1:7" ht="15.75" x14ac:dyDescent="0.2">
      <c r="A12" s="59" t="s">
        <v>23</v>
      </c>
      <c r="B12" s="59"/>
      <c r="C12" s="59"/>
      <c r="D12" s="59"/>
    </row>
    <row r="13" spans="1:7" x14ac:dyDescent="0.2">
      <c r="A13" s="22" t="s">
        <v>5</v>
      </c>
      <c r="B13" s="22" t="s">
        <v>4</v>
      </c>
      <c r="C13" s="22" t="s">
        <v>6</v>
      </c>
      <c r="D13" s="22" t="s">
        <v>82</v>
      </c>
    </row>
    <row r="14" spans="1:7" ht="24" x14ac:dyDescent="0.2">
      <c r="A14" s="21" t="s">
        <v>44</v>
      </c>
      <c r="B14" s="21" t="s">
        <v>20</v>
      </c>
      <c r="C14" s="21" t="s">
        <v>10</v>
      </c>
      <c r="D14" s="39" t="s">
        <v>70</v>
      </c>
    </row>
    <row r="15" spans="1:7" ht="25.5" x14ac:dyDescent="0.2">
      <c r="A15" s="29" t="s">
        <v>88</v>
      </c>
      <c r="B15" s="36" t="s">
        <v>87</v>
      </c>
      <c r="C15" s="29" t="s">
        <v>10</v>
      </c>
      <c r="D15" s="39" t="s">
        <v>70</v>
      </c>
    </row>
    <row r="16" spans="1:7" ht="25.5" x14ac:dyDescent="0.2">
      <c r="A16" s="21" t="s">
        <v>9</v>
      </c>
      <c r="B16" s="21" t="s">
        <v>21</v>
      </c>
      <c r="C16" s="21" t="s">
        <v>11</v>
      </c>
      <c r="D16" s="39" t="s">
        <v>70</v>
      </c>
    </row>
    <row r="17" spans="1:4" x14ac:dyDescent="0.2">
      <c r="A17" s="60"/>
      <c r="B17" s="60"/>
      <c r="C17" s="60"/>
      <c r="D17" s="60"/>
    </row>
    <row r="18" spans="1:4" ht="15.75" x14ac:dyDescent="0.2">
      <c r="A18" s="59" t="s">
        <v>85</v>
      </c>
      <c r="B18" s="59"/>
      <c r="C18" s="59"/>
      <c r="D18" s="59"/>
    </row>
    <row r="19" spans="1:4" x14ac:dyDescent="0.2">
      <c r="A19" s="22" t="s">
        <v>0</v>
      </c>
      <c r="B19" s="22" t="s">
        <v>2</v>
      </c>
      <c r="C19" s="22" t="s">
        <v>3</v>
      </c>
      <c r="D19" s="22" t="s">
        <v>12</v>
      </c>
    </row>
    <row r="20" spans="1:4" x14ac:dyDescent="0.2">
      <c r="A20" s="20" t="s">
        <v>14</v>
      </c>
      <c r="B20" s="12">
        <v>43243</v>
      </c>
      <c r="C20" s="21" t="s">
        <v>9</v>
      </c>
      <c r="D20" s="21" t="s">
        <v>28</v>
      </c>
    </row>
    <row r="21" spans="1:4" ht="38.25" x14ac:dyDescent="0.2">
      <c r="A21" s="20" t="s">
        <v>83</v>
      </c>
      <c r="B21" s="12">
        <v>43503</v>
      </c>
      <c r="C21" s="21" t="s">
        <v>9</v>
      </c>
      <c r="D21" s="19" t="s">
        <v>84</v>
      </c>
    </row>
    <row r="22" spans="1:4" x14ac:dyDescent="0.2">
      <c r="A22" s="26" t="s">
        <v>86</v>
      </c>
      <c r="B22" s="12">
        <v>43841</v>
      </c>
      <c r="C22" s="37" t="s">
        <v>9</v>
      </c>
      <c r="D22" s="27" t="s">
        <v>91</v>
      </c>
    </row>
    <row r="23" spans="1:4" ht="25.5" x14ac:dyDescent="0.2">
      <c r="A23" s="26" t="s">
        <v>165</v>
      </c>
      <c r="B23" s="43">
        <v>43846</v>
      </c>
      <c r="C23" s="37" t="s">
        <v>9</v>
      </c>
      <c r="D23" s="27" t="s">
        <v>166</v>
      </c>
    </row>
    <row r="24" spans="1:4" x14ac:dyDescent="0.2">
      <c r="A24" s="26" t="s">
        <v>168</v>
      </c>
      <c r="B24" s="44">
        <v>43872</v>
      </c>
      <c r="C24" s="37" t="s">
        <v>9</v>
      </c>
      <c r="D24" s="27" t="s">
        <v>167</v>
      </c>
    </row>
    <row r="25" spans="1:4" x14ac:dyDescent="0.2">
      <c r="A25" s="26" t="s">
        <v>170</v>
      </c>
      <c r="B25" s="46">
        <v>43875</v>
      </c>
      <c r="C25" s="37" t="s">
        <v>9</v>
      </c>
      <c r="D25" s="27" t="s">
        <v>171</v>
      </c>
    </row>
    <row r="26" spans="1:4" x14ac:dyDescent="0.2">
      <c r="A26" s="26" t="s">
        <v>173</v>
      </c>
      <c r="B26" s="47">
        <v>43896</v>
      </c>
      <c r="C26" s="37" t="s">
        <v>9</v>
      </c>
      <c r="D26" s="27" t="s">
        <v>174</v>
      </c>
    </row>
    <row r="27" spans="1:4" x14ac:dyDescent="0.2">
      <c r="A27" s="26" t="s">
        <v>175</v>
      </c>
      <c r="B27" s="12">
        <v>43904</v>
      </c>
      <c r="C27" s="32" t="s">
        <v>9</v>
      </c>
      <c r="D27" s="27" t="s">
        <v>176</v>
      </c>
    </row>
    <row r="34" spans="1:1" x14ac:dyDescent="0.2">
      <c r="A34" s="1" t="s">
        <v>90</v>
      </c>
    </row>
  </sheetData>
  <mergeCells count="20"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  <mergeCell ref="A8:B8"/>
    <mergeCell ref="C8:D8"/>
    <mergeCell ref="C10:D10"/>
    <mergeCell ref="A11:D11"/>
    <mergeCell ref="A18:D18"/>
    <mergeCell ref="A12:D12"/>
    <mergeCell ref="A17:D17"/>
    <mergeCell ref="A9:B9"/>
    <mergeCell ref="C9:D9"/>
    <mergeCell ref="A10:B10"/>
  </mergeCells>
  <phoneticPr fontId="7" type="noConversion"/>
  <printOptions horizontalCentered="1"/>
  <pageMargins left="0.19685039370078741" right="0.19685039370078741" top="0.94488188976377963" bottom="0.74803149606299213" header="0.31496062992125984" footer="0.31496062992125984"/>
  <pageSetup paperSize="9" scale="72" fitToHeight="10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view="pageLayout" zoomScale="120" zoomScaleNormal="85" zoomScalePageLayoutView="120" workbookViewId="0">
      <selection activeCell="B12" sqref="B12"/>
    </sheetView>
  </sheetViews>
  <sheetFormatPr defaultColWidth="9.1640625" defaultRowHeight="15" x14ac:dyDescent="0.2"/>
  <cols>
    <col min="1" max="1" width="29.33203125" style="1" customWidth="1"/>
    <col min="2" max="2" width="47.83203125" style="1" customWidth="1"/>
    <col min="3" max="3" width="39.5" style="1" customWidth="1"/>
    <col min="4" max="16384" width="9.1640625" style="1"/>
  </cols>
  <sheetData>
    <row r="1" spans="1:4" ht="15.75" x14ac:dyDescent="0.2">
      <c r="A1" s="6" t="s">
        <v>22</v>
      </c>
      <c r="B1" s="6" t="s">
        <v>15</v>
      </c>
      <c r="C1" s="6" t="s">
        <v>16</v>
      </c>
      <c r="D1" s="6" t="s">
        <v>53</v>
      </c>
    </row>
    <row r="2" spans="1:4" x14ac:dyDescent="0.2">
      <c r="A2" s="35" t="s">
        <v>49</v>
      </c>
      <c r="B2" s="5" t="s">
        <v>50</v>
      </c>
      <c r="C2" s="5"/>
      <c r="D2" s="5">
        <v>12</v>
      </c>
    </row>
    <row r="3" spans="1:4" x14ac:dyDescent="0.2">
      <c r="A3" s="35" t="s">
        <v>60</v>
      </c>
      <c r="B3" s="5" t="s">
        <v>51</v>
      </c>
      <c r="C3" s="5" t="s">
        <v>38</v>
      </c>
      <c r="D3" s="5">
        <v>12</v>
      </c>
    </row>
    <row r="4" spans="1:4" x14ac:dyDescent="0.2">
      <c r="A4" s="35" t="s">
        <v>48</v>
      </c>
      <c r="B4" s="5" t="s">
        <v>52</v>
      </c>
      <c r="C4" s="5" t="s">
        <v>38</v>
      </c>
      <c r="D4" s="5">
        <v>22</v>
      </c>
    </row>
    <row r="5" spans="1:4" s="42" customFormat="1" x14ac:dyDescent="0.2">
      <c r="A5" s="40" t="s">
        <v>164</v>
      </c>
      <c r="B5" s="38" t="s">
        <v>59</v>
      </c>
      <c r="C5" s="5" t="s">
        <v>38</v>
      </c>
      <c r="D5" s="5">
        <v>2</v>
      </c>
    </row>
    <row r="6" spans="1:4" s="42" customFormat="1" x14ac:dyDescent="0.2">
      <c r="A6" s="40" t="s">
        <v>61</v>
      </c>
      <c r="B6" s="38" t="s">
        <v>62</v>
      </c>
      <c r="C6" s="41"/>
      <c r="D6" s="5">
        <v>1</v>
      </c>
    </row>
  </sheetData>
  <phoneticPr fontId="7" type="noConversion"/>
  <conditionalFormatting sqref="B2:B3">
    <cfRule type="cellIs" dxfId="20" priority="19" stopIfTrue="1" operator="equal">
      <formula>"Policy"</formula>
    </cfRule>
    <cfRule type="cellIs" dxfId="19" priority="20" stopIfTrue="1" operator="equal">
      <formula>"Procedure"</formula>
    </cfRule>
    <cfRule type="cellIs" dxfId="18" priority="21" stopIfTrue="1" operator="equal">
      <formula>"Standard"</formula>
    </cfRule>
  </conditionalFormatting>
  <conditionalFormatting sqref="B4:B6">
    <cfRule type="cellIs" dxfId="17" priority="1" stopIfTrue="1" operator="equal">
      <formula>"Policy"</formula>
    </cfRule>
    <cfRule type="cellIs" dxfId="16" priority="2" stopIfTrue="1" operator="equal">
      <formula>"Procedure"</formula>
    </cfRule>
    <cfRule type="cellIs" dxfId="15" priority="3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5"/>
  <sheetViews>
    <sheetView tabSelected="1" view="pageLayout" zoomScale="145" zoomScaleNormal="85" zoomScalePageLayoutView="145" workbookViewId="0">
      <selection activeCell="G2" sqref="G2"/>
    </sheetView>
  </sheetViews>
  <sheetFormatPr defaultColWidth="9.1640625" defaultRowHeight="12.75" x14ac:dyDescent="0.2"/>
  <cols>
    <col min="1" max="1" width="15" style="17" customWidth="1"/>
    <col min="2" max="2" width="14" style="18" customWidth="1"/>
    <col min="3" max="3" width="12.6640625" style="16" customWidth="1"/>
    <col min="4" max="5" width="17.33203125" style="15" customWidth="1"/>
    <col min="6" max="6" width="18.6640625" style="15" customWidth="1"/>
    <col min="7" max="7" width="12.6640625" style="15" customWidth="1"/>
    <col min="8" max="16384" width="9.1640625" style="15"/>
  </cols>
  <sheetData>
    <row r="1" spans="1:5" ht="14.25" x14ac:dyDescent="0.2">
      <c r="A1" s="70" t="s">
        <v>71</v>
      </c>
      <c r="B1" s="70"/>
      <c r="C1" s="70"/>
      <c r="D1" s="70"/>
      <c r="E1" s="70"/>
    </row>
    <row r="2" spans="1:5" x14ac:dyDescent="0.2">
      <c r="A2" s="5" t="s">
        <v>25</v>
      </c>
      <c r="B2" s="5" t="s">
        <v>72</v>
      </c>
      <c r="C2" s="5" t="s">
        <v>73</v>
      </c>
      <c r="D2" s="5" t="s">
        <v>74</v>
      </c>
      <c r="E2" s="5" t="s">
        <v>75</v>
      </c>
    </row>
    <row r="3" spans="1:5" x14ac:dyDescent="0.2">
      <c r="A3" s="5"/>
      <c r="B3" s="5"/>
      <c r="C3" s="5"/>
      <c r="D3" s="5"/>
      <c r="E3" s="5"/>
    </row>
    <row r="4" spans="1:5" x14ac:dyDescent="0.2">
      <c r="A4" s="5"/>
      <c r="B4" s="5"/>
      <c r="C4" s="5"/>
      <c r="D4" s="5"/>
      <c r="E4" s="5"/>
    </row>
    <row r="5" spans="1:5" x14ac:dyDescent="0.2">
      <c r="A5" s="5"/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 t="s">
        <v>19</v>
      </c>
      <c r="B7" s="5"/>
      <c r="C7" s="5"/>
      <c r="D7" s="5"/>
      <c r="E7" s="5">
        <f>SUBTOTAL(103,Table_B124[Column5])</f>
        <v>0</v>
      </c>
    </row>
    <row r="8" spans="1:5" x14ac:dyDescent="0.2">
      <c r="A8" s="5"/>
      <c r="B8" s="5"/>
      <c r="C8" s="5"/>
      <c r="D8" s="5"/>
      <c r="E8" s="5"/>
    </row>
    <row r="9" spans="1:5" ht="20.25" x14ac:dyDescent="0.2">
      <c r="A9" s="77" t="s">
        <v>76</v>
      </c>
      <c r="B9" s="77"/>
      <c r="C9" s="77"/>
      <c r="D9" s="77"/>
      <c r="E9" s="77"/>
    </row>
    <row r="10" spans="1:5" x14ac:dyDescent="0.2">
      <c r="A10" s="50" t="s">
        <v>25</v>
      </c>
      <c r="B10" s="50" t="s">
        <v>72</v>
      </c>
      <c r="C10" s="50" t="s">
        <v>73</v>
      </c>
      <c r="D10" s="50" t="s">
        <v>74</v>
      </c>
      <c r="E10" s="50" t="s">
        <v>75</v>
      </c>
    </row>
    <row r="11" spans="1:5" x14ac:dyDescent="0.2">
      <c r="A11" s="50" t="s">
        <v>25</v>
      </c>
      <c r="B11" s="50"/>
      <c r="C11" s="50"/>
      <c r="D11" s="52"/>
      <c r="E11" s="50"/>
    </row>
    <row r="12" spans="1:5" x14ac:dyDescent="0.2">
      <c r="A12" s="50"/>
      <c r="B12" s="50"/>
      <c r="C12" s="50"/>
      <c r="D12" s="50"/>
      <c r="E12" s="50"/>
    </row>
    <row r="13" spans="1:5" x14ac:dyDescent="0.2">
      <c r="A13" s="50"/>
      <c r="B13" s="50"/>
      <c r="C13" s="50"/>
      <c r="D13" s="50"/>
      <c r="E13" s="50"/>
    </row>
    <row r="14" spans="1:5" x14ac:dyDescent="0.2">
      <c r="A14" s="50"/>
      <c r="B14" s="50"/>
      <c r="C14" s="50"/>
      <c r="D14" s="50"/>
      <c r="E14" s="50"/>
    </row>
    <row r="15" spans="1:5" x14ac:dyDescent="0.2">
      <c r="A15" s="51" t="s">
        <v>19</v>
      </c>
      <c r="B15" s="51"/>
      <c r="C15" s="51"/>
      <c r="D15" s="51"/>
      <c r="E15" s="51">
        <f>SUBTOTAL(103,Table_B222[Column5])</f>
        <v>0</v>
      </c>
    </row>
    <row r="16" spans="1:5" x14ac:dyDescent="0.2">
      <c r="A16" s="5"/>
      <c r="B16" s="5"/>
      <c r="C16" s="5"/>
      <c r="D16" s="5"/>
      <c r="E16" s="5"/>
    </row>
    <row r="17" spans="1:5" ht="15.75" customHeight="1" x14ac:dyDescent="0.2">
      <c r="A17" s="72" t="s">
        <v>77</v>
      </c>
      <c r="B17" s="72"/>
      <c r="C17" s="72"/>
      <c r="D17" s="72"/>
      <c r="E17" s="72"/>
    </row>
    <row r="18" spans="1:5" x14ac:dyDescent="0.2">
      <c r="A18" s="14" t="s">
        <v>25</v>
      </c>
      <c r="B18" s="14" t="s">
        <v>72</v>
      </c>
      <c r="C18" s="14" t="s">
        <v>73</v>
      </c>
      <c r="D18" s="14" t="s">
        <v>74</v>
      </c>
      <c r="E18" s="14" t="s">
        <v>75</v>
      </c>
    </row>
    <row r="19" spans="1:5" x14ac:dyDescent="0.2">
      <c r="A19" s="5"/>
      <c r="B19" s="5"/>
      <c r="C19" s="5"/>
      <c r="D19" s="5"/>
      <c r="E19" s="5"/>
    </row>
    <row r="20" spans="1:5" x14ac:dyDescent="0.2">
      <c r="A20" s="5"/>
      <c r="B20" s="5"/>
      <c r="C20" s="5"/>
      <c r="D20" s="5"/>
      <c r="E20" s="5"/>
    </row>
    <row r="21" spans="1:5" x14ac:dyDescent="0.2">
      <c r="A21" s="5"/>
      <c r="B21" s="5"/>
      <c r="C21" s="5"/>
      <c r="D21" s="5"/>
      <c r="E21" s="5"/>
    </row>
    <row r="22" spans="1:5" x14ac:dyDescent="0.2">
      <c r="A22" s="5"/>
      <c r="B22" s="5"/>
      <c r="C22" s="5"/>
      <c r="D22" s="5"/>
      <c r="E22" s="5"/>
    </row>
    <row r="23" spans="1:5" x14ac:dyDescent="0.2">
      <c r="A23" s="5" t="s">
        <v>19</v>
      </c>
      <c r="B23" s="5"/>
      <c r="C23" s="5"/>
      <c r="D23" s="5"/>
      <c r="E23" s="5">
        <f>SUBTOTAL(103,Table_117[Column5])</f>
        <v>0</v>
      </c>
    </row>
    <row r="24" spans="1:5" x14ac:dyDescent="0.2">
      <c r="A24" s="5"/>
      <c r="B24" s="5"/>
      <c r="C24" s="5"/>
      <c r="D24" s="5"/>
      <c r="E24" s="5"/>
    </row>
    <row r="25" spans="1:5" ht="15.75" customHeight="1" x14ac:dyDescent="0.2">
      <c r="A25" s="73" t="s">
        <v>78</v>
      </c>
      <c r="B25" s="73"/>
      <c r="C25" s="73"/>
      <c r="D25" s="73"/>
      <c r="E25" s="73"/>
    </row>
    <row r="26" spans="1:5" x14ac:dyDescent="0.2">
      <c r="A26" s="5" t="s">
        <v>25</v>
      </c>
      <c r="B26" s="5" t="s">
        <v>72</v>
      </c>
      <c r="C26" s="5" t="s">
        <v>73</v>
      </c>
      <c r="D26" s="5" t="s">
        <v>74</v>
      </c>
      <c r="E26" s="5" t="s">
        <v>75</v>
      </c>
    </row>
    <row r="27" spans="1:5" x14ac:dyDescent="0.2">
      <c r="A27" s="5"/>
      <c r="B27" s="5"/>
      <c r="C27" s="5"/>
      <c r="D27" s="5"/>
      <c r="E27" s="5"/>
    </row>
    <row r="28" spans="1:5" x14ac:dyDescent="0.2">
      <c r="A28" s="5"/>
      <c r="B28" s="5"/>
      <c r="C28" s="5"/>
      <c r="D28" s="5"/>
      <c r="E28" s="5"/>
    </row>
    <row r="29" spans="1:5" x14ac:dyDescent="0.2">
      <c r="A29" s="5"/>
      <c r="B29" s="5"/>
      <c r="C29" s="5"/>
      <c r="D29" s="5"/>
      <c r="E29" s="5"/>
    </row>
    <row r="30" spans="1:5" x14ac:dyDescent="0.2">
      <c r="A30" s="5" t="s">
        <v>19</v>
      </c>
      <c r="B30" s="5"/>
      <c r="C30" s="5"/>
      <c r="D30" s="5"/>
      <c r="E30" s="5">
        <f>SUBTOTAL(103,Table_218[Column5])</f>
        <v>0</v>
      </c>
    </row>
    <row r="31" spans="1:5" x14ac:dyDescent="0.2">
      <c r="A31" s="5"/>
      <c r="B31" s="5"/>
      <c r="C31" s="5"/>
      <c r="D31" s="5"/>
      <c r="E31" s="5"/>
    </row>
    <row r="32" spans="1:5" ht="15" customHeight="1" x14ac:dyDescent="0.2">
      <c r="A32" s="74" t="s">
        <v>79</v>
      </c>
      <c r="B32" s="74"/>
      <c r="C32" s="74"/>
      <c r="D32" s="74"/>
      <c r="E32" s="74"/>
    </row>
    <row r="33" spans="1:5" ht="31.5" x14ac:dyDescent="0.2">
      <c r="A33" s="23" t="s">
        <v>25</v>
      </c>
      <c r="B33" s="5" t="s">
        <v>72</v>
      </c>
      <c r="C33" s="5" t="s">
        <v>73</v>
      </c>
      <c r="D33" s="24" t="s">
        <v>74</v>
      </c>
      <c r="E33" s="5" t="s">
        <v>75</v>
      </c>
    </row>
    <row r="34" spans="1:5" x14ac:dyDescent="0.2">
      <c r="A34" s="5"/>
      <c r="B34" s="5"/>
      <c r="C34" s="5"/>
      <c r="D34" s="5"/>
      <c r="E34" s="5"/>
    </row>
    <row r="35" spans="1:5" x14ac:dyDescent="0.2">
      <c r="A35" s="5"/>
      <c r="B35" s="5"/>
      <c r="C35" s="5"/>
      <c r="D35" s="5"/>
      <c r="E35" s="5"/>
    </row>
    <row r="36" spans="1:5" x14ac:dyDescent="0.2">
      <c r="A36" s="5"/>
      <c r="B36" s="5"/>
      <c r="C36" s="5"/>
      <c r="D36" s="5"/>
      <c r="E36" s="5"/>
    </row>
    <row r="37" spans="1:5" x14ac:dyDescent="0.2">
      <c r="A37" s="5" t="s">
        <v>19</v>
      </c>
      <c r="B37" s="5"/>
      <c r="C37" s="5"/>
      <c r="D37" s="5"/>
      <c r="E37" s="5">
        <f>SUBTOTAL(103,Table_319[Column5])</f>
        <v>0</v>
      </c>
    </row>
    <row r="38" spans="1:5" x14ac:dyDescent="0.2">
      <c r="A38" s="5"/>
      <c r="B38" s="5"/>
      <c r="C38" s="5"/>
      <c r="D38" s="5"/>
      <c r="E38" s="5"/>
    </row>
    <row r="39" spans="1:5" ht="15.75" x14ac:dyDescent="0.2">
      <c r="A39" s="71" t="s">
        <v>169</v>
      </c>
      <c r="B39" s="71"/>
      <c r="C39" s="71"/>
      <c r="D39" s="71"/>
      <c r="E39" s="71"/>
    </row>
    <row r="40" spans="1:5" x14ac:dyDescent="0.2">
      <c r="A40" s="5" t="s">
        <v>25</v>
      </c>
      <c r="B40" s="5" t="s">
        <v>72</v>
      </c>
      <c r="C40" s="5" t="s">
        <v>73</v>
      </c>
      <c r="D40" s="5" t="s">
        <v>74</v>
      </c>
      <c r="E40" s="5" t="s">
        <v>75</v>
      </c>
    </row>
    <row r="41" spans="1:5" x14ac:dyDescent="0.2">
      <c r="A41" s="5"/>
      <c r="B41" s="5"/>
      <c r="C41" s="5"/>
      <c r="D41" s="5"/>
      <c r="E41" s="5"/>
    </row>
    <row r="42" spans="1:5" x14ac:dyDescent="0.2">
      <c r="A42" s="5"/>
      <c r="B42" s="5"/>
      <c r="C42" s="5"/>
      <c r="D42" s="5"/>
      <c r="E42" s="5"/>
    </row>
    <row r="43" spans="1:5" x14ac:dyDescent="0.2">
      <c r="A43" s="5"/>
      <c r="B43" s="5"/>
      <c r="C43" s="5"/>
      <c r="D43" s="5"/>
      <c r="E43" s="5"/>
    </row>
    <row r="44" spans="1:5" x14ac:dyDescent="0.2">
      <c r="A44" s="5"/>
      <c r="B44" s="5"/>
      <c r="C44" s="5"/>
      <c r="D44" s="5"/>
      <c r="E44" s="5"/>
    </row>
    <row r="45" spans="1:5" x14ac:dyDescent="0.2">
      <c r="A45" s="5" t="s">
        <v>19</v>
      </c>
      <c r="B45" s="5"/>
      <c r="C45" s="5"/>
      <c r="D45" s="5"/>
      <c r="E45" s="5">
        <f>SUBTOTAL(103,Table_5218[Column5])</f>
        <v>0</v>
      </c>
    </row>
    <row r="46" spans="1:5" x14ac:dyDescent="0.2">
      <c r="A46" s="45"/>
      <c r="B46" s="45"/>
      <c r="C46" s="45"/>
      <c r="D46" s="45"/>
      <c r="E46" s="45"/>
    </row>
    <row r="47" spans="1:5" x14ac:dyDescent="0.2">
      <c r="A47" s="45"/>
      <c r="B47" s="45"/>
      <c r="C47" s="45"/>
      <c r="D47" s="45"/>
      <c r="E47" s="45"/>
    </row>
    <row r="48" spans="1:5" x14ac:dyDescent="0.2">
      <c r="A48" s="45"/>
      <c r="B48" s="45"/>
      <c r="C48" s="45"/>
      <c r="D48" s="45"/>
      <c r="E48" s="45"/>
    </row>
    <row r="49" spans="1:5" x14ac:dyDescent="0.2">
      <c r="A49" s="45"/>
      <c r="B49" s="45"/>
      <c r="C49" s="45"/>
      <c r="D49" s="45"/>
      <c r="E49" s="45"/>
    </row>
    <row r="50" spans="1:5" x14ac:dyDescent="0.2">
      <c r="A50" s="45"/>
      <c r="B50" s="45"/>
      <c r="C50" s="45"/>
      <c r="D50" s="45"/>
      <c r="E50" s="45"/>
    </row>
    <row r="51" spans="1:5" ht="12.75" customHeight="1" x14ac:dyDescent="0.2">
      <c r="A51" s="68" t="s">
        <v>80</v>
      </c>
      <c r="B51" s="68"/>
      <c r="C51" s="68"/>
      <c r="D51" s="68"/>
      <c r="E51" s="68"/>
    </row>
    <row r="52" spans="1:5" x14ac:dyDescent="0.2">
      <c r="A52" s="5" t="s">
        <v>25</v>
      </c>
      <c r="B52" s="5" t="s">
        <v>72</v>
      </c>
      <c r="C52" s="5" t="s">
        <v>73</v>
      </c>
      <c r="D52" s="5" t="s">
        <v>74</v>
      </c>
      <c r="E52" s="5" t="s">
        <v>75</v>
      </c>
    </row>
    <row r="53" spans="1:5" x14ac:dyDescent="0.2">
      <c r="A53" s="5"/>
      <c r="B53" s="5"/>
      <c r="C53" s="5"/>
      <c r="D53" s="5"/>
      <c r="E53" s="5"/>
    </row>
    <row r="54" spans="1:5" x14ac:dyDescent="0.2">
      <c r="A54" s="5"/>
      <c r="B54" s="5"/>
      <c r="C54" s="5"/>
      <c r="D54" s="5"/>
      <c r="E54" s="5"/>
    </row>
    <row r="55" spans="1:5" x14ac:dyDescent="0.2">
      <c r="A55" s="5"/>
      <c r="B55" s="5"/>
      <c r="C55" s="5"/>
      <c r="D55" s="5"/>
      <c r="E55" s="5"/>
    </row>
    <row r="56" spans="1:5" x14ac:dyDescent="0.2">
      <c r="A56" s="5"/>
      <c r="B56" s="5"/>
      <c r="C56" s="5"/>
      <c r="D56" s="5"/>
      <c r="E56" s="5"/>
    </row>
    <row r="57" spans="1:5" x14ac:dyDescent="0.2">
      <c r="A57" s="5" t="s">
        <v>19</v>
      </c>
      <c r="B57" s="5"/>
      <c r="C57" s="5"/>
      <c r="D57" s="5"/>
      <c r="E57" s="5">
        <f>SUBTOTAL(103,Table_521[Column5])</f>
        <v>0</v>
      </c>
    </row>
    <row r="58" spans="1:5" x14ac:dyDescent="0.2">
      <c r="A58" s="5"/>
      <c r="B58" s="5"/>
      <c r="C58" s="5"/>
      <c r="D58" s="5"/>
      <c r="E58" s="5"/>
    </row>
    <row r="59" spans="1:5" ht="15.75" x14ac:dyDescent="0.2">
      <c r="A59" s="69" t="s">
        <v>81</v>
      </c>
      <c r="B59" s="69"/>
      <c r="C59" s="69"/>
      <c r="D59" s="69"/>
      <c r="E59" s="69"/>
    </row>
    <row r="60" spans="1:5" x14ac:dyDescent="0.2">
      <c r="A60" s="5" t="s">
        <v>25</v>
      </c>
      <c r="B60" s="5" t="s">
        <v>72</v>
      </c>
      <c r="C60" s="5" t="s">
        <v>73</v>
      </c>
      <c r="D60" s="5" t="s">
        <v>74</v>
      </c>
      <c r="E60" s="5" t="s">
        <v>75</v>
      </c>
    </row>
    <row r="61" spans="1:5" x14ac:dyDescent="0.2">
      <c r="A61" s="5"/>
      <c r="B61" s="5"/>
      <c r="C61" s="5"/>
      <c r="D61" s="5"/>
      <c r="E61" s="5"/>
    </row>
    <row r="62" spans="1:5" x14ac:dyDescent="0.2">
      <c r="A62" s="5"/>
      <c r="B62" s="5"/>
      <c r="C62" s="5"/>
      <c r="D62" s="5"/>
      <c r="E62" s="5"/>
    </row>
    <row r="63" spans="1:5" x14ac:dyDescent="0.2">
      <c r="A63" s="5"/>
      <c r="B63" s="5"/>
      <c r="C63" s="5"/>
      <c r="D63" s="5"/>
      <c r="E63" s="5"/>
    </row>
    <row r="64" spans="1:5" x14ac:dyDescent="0.2">
      <c r="A64" s="5"/>
      <c r="B64" s="5"/>
      <c r="C64" s="5"/>
      <c r="D64" s="5"/>
      <c r="E64" s="5"/>
    </row>
    <row r="65" spans="1:5" x14ac:dyDescent="0.2">
      <c r="A65" s="5" t="s">
        <v>19</v>
      </c>
      <c r="B65" s="5"/>
      <c r="C65" s="5"/>
      <c r="D65" s="5"/>
      <c r="E65" s="5">
        <f>SUBTOTAL(103,Table_623[Column5])</f>
        <v>0</v>
      </c>
    </row>
  </sheetData>
  <mergeCells count="8">
    <mergeCell ref="A51:E51"/>
    <mergeCell ref="A59:E59"/>
    <mergeCell ref="A1:E1"/>
    <mergeCell ref="A9:E9"/>
    <mergeCell ref="A39:E39"/>
    <mergeCell ref="A17:E17"/>
    <mergeCell ref="A25:E25"/>
    <mergeCell ref="A32:E32"/>
  </mergeCells>
  <pageMargins left="0.19685039370078741" right="0.19685039370078741" top="0.94488188976377963" bottom="0.74803149606299213" header="0.31496062992125984" footer="0.31496062992125984"/>
  <pageSetup scale="84" fitToHeight="10" orientation="landscape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view="pageLayout" zoomScale="140" zoomScaleNormal="85" zoomScalePageLayoutView="140" workbookViewId="0">
      <selection activeCell="J12" sqref="J12"/>
    </sheetView>
  </sheetViews>
  <sheetFormatPr defaultColWidth="9.1640625" defaultRowHeight="15" x14ac:dyDescent="0.2"/>
  <cols>
    <col min="1" max="1" width="15.1640625" style="1" customWidth="1"/>
    <col min="2" max="2" width="90.5" style="1" customWidth="1"/>
    <col min="3" max="3" width="7.33203125" style="1" customWidth="1"/>
    <col min="4" max="4" width="12.83203125" style="5" customWidth="1"/>
    <col min="5" max="5" width="25.33203125" style="5" customWidth="1"/>
    <col min="6" max="16384" width="9.1640625" style="1"/>
  </cols>
  <sheetData>
    <row r="1" spans="1:5" ht="22.5" x14ac:dyDescent="0.2">
      <c r="A1" s="75" t="s">
        <v>58</v>
      </c>
      <c r="B1" s="76"/>
      <c r="C1" s="29"/>
      <c r="D1" s="5" t="s">
        <v>92</v>
      </c>
      <c r="E1" s="5" t="s">
        <v>93</v>
      </c>
    </row>
    <row r="2" spans="1:5" ht="38.25" x14ac:dyDescent="0.2">
      <c r="A2" s="11">
        <v>1</v>
      </c>
      <c r="B2" s="30" t="s">
        <v>63</v>
      </c>
      <c r="D2" s="5" t="s">
        <v>94</v>
      </c>
      <c r="E2" s="5" t="s">
        <v>95</v>
      </c>
    </row>
    <row r="3" spans="1:5" ht="25.5" x14ac:dyDescent="0.2">
      <c r="A3" s="11">
        <v>2</v>
      </c>
      <c r="B3" s="30" t="s">
        <v>65</v>
      </c>
      <c r="D3" s="5" t="s">
        <v>96</v>
      </c>
      <c r="E3" s="5" t="s">
        <v>97</v>
      </c>
    </row>
    <row r="4" spans="1:5" x14ac:dyDescent="0.2">
      <c r="A4" s="11">
        <v>3</v>
      </c>
      <c r="B4" s="30" t="s">
        <v>66</v>
      </c>
      <c r="D4" s="5" t="s">
        <v>156</v>
      </c>
      <c r="E4" s="5" t="s">
        <v>157</v>
      </c>
    </row>
    <row r="5" spans="1:5" ht="25.5" x14ac:dyDescent="0.2">
      <c r="A5" s="11">
        <v>4</v>
      </c>
      <c r="B5" s="30" t="s">
        <v>64</v>
      </c>
      <c r="D5" s="5" t="s">
        <v>98</v>
      </c>
      <c r="E5" s="5" t="s">
        <v>99</v>
      </c>
    </row>
    <row r="6" spans="1:5" x14ac:dyDescent="0.2">
      <c r="A6" s="11">
        <v>5</v>
      </c>
      <c r="B6" s="30" t="s">
        <v>67</v>
      </c>
      <c r="D6" s="5" t="s">
        <v>161</v>
      </c>
      <c r="E6" s="5" t="s">
        <v>100</v>
      </c>
    </row>
    <row r="7" spans="1:5" x14ac:dyDescent="0.2">
      <c r="A7" s="11">
        <v>6</v>
      </c>
      <c r="B7" s="30" t="s">
        <v>68</v>
      </c>
      <c r="D7" s="5" t="s">
        <v>101</v>
      </c>
      <c r="E7" s="5" t="s">
        <v>102</v>
      </c>
    </row>
    <row r="8" spans="1:5" ht="25.5" x14ac:dyDescent="0.2">
      <c r="A8" s="11">
        <v>7</v>
      </c>
      <c r="B8" s="30" t="s">
        <v>69</v>
      </c>
      <c r="D8" s="5" t="s">
        <v>103</v>
      </c>
      <c r="E8" s="5" t="s">
        <v>104</v>
      </c>
    </row>
    <row r="9" spans="1:5" x14ac:dyDescent="0.2">
      <c r="B9" s="5"/>
      <c r="D9" s="5" t="s">
        <v>105</v>
      </c>
      <c r="E9" s="5" t="s">
        <v>106</v>
      </c>
    </row>
    <row r="10" spans="1:5" ht="38.25" x14ac:dyDescent="0.2">
      <c r="A10" s="31" t="s">
        <v>54</v>
      </c>
      <c r="B10" s="26" t="s">
        <v>162</v>
      </c>
      <c r="D10" s="5" t="s">
        <v>151</v>
      </c>
      <c r="E10" s="5" t="s">
        <v>152</v>
      </c>
    </row>
    <row r="11" spans="1:5" ht="84" x14ac:dyDescent="0.2">
      <c r="A11" s="34" t="s">
        <v>163</v>
      </c>
      <c r="B11" s="48" t="s">
        <v>172</v>
      </c>
      <c r="D11" s="5" t="s">
        <v>107</v>
      </c>
      <c r="E11" s="5" t="s">
        <v>108</v>
      </c>
    </row>
    <row r="12" spans="1:5" x14ac:dyDescent="0.2">
      <c r="A12" s="28" t="s">
        <v>55</v>
      </c>
      <c r="B12" s="33" t="b" cm="1">
        <f t="array" ref="B12">IsFilled(B12)</f>
        <v>1</v>
      </c>
      <c r="D12" s="5" t="s">
        <v>109</v>
      </c>
      <c r="E12" s="5" t="s">
        <v>110</v>
      </c>
    </row>
    <row r="13" spans="1:5" x14ac:dyDescent="0.2">
      <c r="A13" s="28" t="s">
        <v>56</v>
      </c>
      <c r="B13" s="49" t="b" cm="1">
        <f t="array" ref="B13">IsFilled(B13)</f>
        <v>0</v>
      </c>
      <c r="D13" s="5" t="s">
        <v>111</v>
      </c>
      <c r="E13" s="5" t="s">
        <v>112</v>
      </c>
    </row>
    <row r="14" spans="1:5" x14ac:dyDescent="0.2">
      <c r="A14" s="28"/>
      <c r="B14" s="4" t="s">
        <v>57</v>
      </c>
      <c r="D14" s="5" t="s">
        <v>113</v>
      </c>
      <c r="E14" s="5" t="s">
        <v>114</v>
      </c>
    </row>
    <row r="15" spans="1:5" x14ac:dyDescent="0.2">
      <c r="D15" s="5" t="s">
        <v>115</v>
      </c>
      <c r="E15" s="5" t="s">
        <v>116</v>
      </c>
    </row>
    <row r="16" spans="1:5" x14ac:dyDescent="0.2">
      <c r="D16" s="5" t="s">
        <v>117</v>
      </c>
      <c r="E16" s="5" t="s">
        <v>118</v>
      </c>
    </row>
    <row r="17" spans="4:5" ht="25.5" x14ac:dyDescent="0.2">
      <c r="D17" s="5" t="s">
        <v>119</v>
      </c>
      <c r="E17" s="5" t="s">
        <v>120</v>
      </c>
    </row>
    <row r="18" spans="4:5" x14ac:dyDescent="0.2">
      <c r="D18" s="5" t="s">
        <v>121</v>
      </c>
      <c r="E18" s="5" t="s">
        <v>155</v>
      </c>
    </row>
    <row r="19" spans="4:5" x14ac:dyDescent="0.2">
      <c r="D19" s="5" t="s">
        <v>122</v>
      </c>
      <c r="E19" s="5" t="s">
        <v>123</v>
      </c>
    </row>
    <row r="20" spans="4:5" x14ac:dyDescent="0.2">
      <c r="D20" s="5" t="s">
        <v>158</v>
      </c>
      <c r="E20" s="5" t="s">
        <v>130</v>
      </c>
    </row>
    <row r="21" spans="4:5" x14ac:dyDescent="0.2">
      <c r="D21" s="5" t="s">
        <v>124</v>
      </c>
      <c r="E21" s="5" t="s">
        <v>125</v>
      </c>
    </row>
    <row r="22" spans="4:5" x14ac:dyDescent="0.2">
      <c r="D22" s="5" t="s">
        <v>126</v>
      </c>
      <c r="E22" s="5" t="s">
        <v>127</v>
      </c>
    </row>
    <row r="23" spans="4:5" x14ac:dyDescent="0.2">
      <c r="D23" s="5" t="s">
        <v>128</v>
      </c>
      <c r="E23" s="5" t="s">
        <v>129</v>
      </c>
    </row>
    <row r="24" spans="4:5" x14ac:dyDescent="0.2">
      <c r="D24" s="5" t="s">
        <v>153</v>
      </c>
      <c r="E24" s="5" t="s">
        <v>154</v>
      </c>
    </row>
    <row r="25" spans="4:5" x14ac:dyDescent="0.2">
      <c r="D25" s="5" t="s">
        <v>131</v>
      </c>
      <c r="E25" s="5" t="s">
        <v>132</v>
      </c>
    </row>
    <row r="26" spans="4:5" x14ac:dyDescent="0.2">
      <c r="D26" s="5" t="s">
        <v>135</v>
      </c>
      <c r="E26" s="5" t="s">
        <v>136</v>
      </c>
    </row>
    <row r="27" spans="4:5" x14ac:dyDescent="0.2">
      <c r="D27" s="5" t="s">
        <v>133</v>
      </c>
      <c r="E27" s="5" t="s">
        <v>134</v>
      </c>
    </row>
    <row r="28" spans="4:5" ht="25.5" x14ac:dyDescent="0.2">
      <c r="D28" s="5" t="s">
        <v>137</v>
      </c>
      <c r="E28" s="5" t="s">
        <v>138</v>
      </c>
    </row>
    <row r="29" spans="4:5" x14ac:dyDescent="0.2">
      <c r="D29" s="5" t="s">
        <v>139</v>
      </c>
      <c r="E29" s="5" t="s">
        <v>140</v>
      </c>
    </row>
    <row r="30" spans="4:5" ht="25.5" x14ac:dyDescent="0.2">
      <c r="D30" s="5" t="s">
        <v>141</v>
      </c>
      <c r="E30" s="5" t="s">
        <v>142</v>
      </c>
    </row>
    <row r="31" spans="4:5" x14ac:dyDescent="0.2">
      <c r="D31" s="5" t="s">
        <v>143</v>
      </c>
      <c r="E31" s="5" t="s">
        <v>144</v>
      </c>
    </row>
    <row r="32" spans="4:5" x14ac:dyDescent="0.2">
      <c r="D32" s="5" t="s">
        <v>145</v>
      </c>
      <c r="E32" s="5" t="s">
        <v>146</v>
      </c>
    </row>
    <row r="33" spans="4:5" x14ac:dyDescent="0.2">
      <c r="D33" s="5" t="s">
        <v>159</v>
      </c>
      <c r="E33" s="5" t="s">
        <v>147</v>
      </c>
    </row>
    <row r="34" spans="4:5" x14ac:dyDescent="0.2">
      <c r="D34" s="5" t="s">
        <v>160</v>
      </c>
      <c r="E34" s="5" t="s">
        <v>148</v>
      </c>
    </row>
    <row r="35" spans="4:5" x14ac:dyDescent="0.2">
      <c r="D35" s="5" t="s">
        <v>149</v>
      </c>
      <c r="E35" s="5" t="s">
        <v>150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view="pageLayout" zoomScaleNormal="100" workbookViewId="0">
      <selection activeCell="F11" sqref="F11"/>
    </sheetView>
  </sheetViews>
  <sheetFormatPr defaultRowHeight="11.25" x14ac:dyDescent="0.2"/>
  <cols>
    <col min="1" max="1" width="47" customWidth="1"/>
    <col min="2" max="2" width="9.6640625" customWidth="1"/>
    <col min="3" max="3" width="16.5" customWidth="1"/>
    <col min="4" max="5" width="10.1640625" customWidth="1"/>
    <col min="6" max="6" width="20.6640625" customWidth="1"/>
    <col min="7" max="7" width="14.33203125" bestFit="1" customWidth="1"/>
  </cols>
  <sheetData>
    <row r="3" spans="1:3" x14ac:dyDescent="0.2">
      <c r="A3" s="7" t="s">
        <v>39</v>
      </c>
      <c r="B3" t="s">
        <v>42</v>
      </c>
      <c r="C3" t="s">
        <v>43</v>
      </c>
    </row>
    <row r="4" spans="1:3" x14ac:dyDescent="0.2">
      <c r="A4" s="8" t="s">
        <v>36</v>
      </c>
      <c r="B4">
        <v>34</v>
      </c>
      <c r="C4">
        <v>2</v>
      </c>
    </row>
    <row r="5" spans="1:3" x14ac:dyDescent="0.2">
      <c r="A5" s="9" t="s">
        <v>30</v>
      </c>
      <c r="B5">
        <v>12</v>
      </c>
      <c r="C5">
        <v>1</v>
      </c>
    </row>
    <row r="6" spans="1:3" x14ac:dyDescent="0.2">
      <c r="A6" s="10" t="s">
        <v>38</v>
      </c>
      <c r="B6">
        <v>12</v>
      </c>
      <c r="C6">
        <v>1</v>
      </c>
    </row>
    <row r="7" spans="1:3" x14ac:dyDescent="0.2">
      <c r="A7" s="9" t="s">
        <v>31</v>
      </c>
      <c r="B7">
        <v>22</v>
      </c>
      <c r="C7">
        <v>1</v>
      </c>
    </row>
    <row r="8" spans="1:3" x14ac:dyDescent="0.2">
      <c r="A8" s="10" t="s">
        <v>38</v>
      </c>
      <c r="B8">
        <v>22</v>
      </c>
      <c r="C8">
        <v>1</v>
      </c>
    </row>
    <row r="9" spans="1:3" x14ac:dyDescent="0.2">
      <c r="A9" s="8" t="s">
        <v>37</v>
      </c>
      <c r="B9">
        <v>216</v>
      </c>
      <c r="C9">
        <v>1</v>
      </c>
    </row>
    <row r="10" spans="1:3" x14ac:dyDescent="0.2">
      <c r="A10" s="9" t="s">
        <v>32</v>
      </c>
      <c r="B10">
        <v>2</v>
      </c>
      <c r="C10">
        <v>1</v>
      </c>
    </row>
    <row r="11" spans="1:3" x14ac:dyDescent="0.2">
      <c r="A11" s="10" t="s">
        <v>38</v>
      </c>
      <c r="B11">
        <v>2</v>
      </c>
      <c r="C11">
        <v>1</v>
      </c>
    </row>
    <row r="12" spans="1:3" x14ac:dyDescent="0.2">
      <c r="A12" s="9" t="s">
        <v>33</v>
      </c>
      <c r="B12">
        <v>1</v>
      </c>
    </row>
    <row r="13" spans="1:3" x14ac:dyDescent="0.2">
      <c r="A13" s="10" t="s">
        <v>41</v>
      </c>
      <c r="B13">
        <v>1</v>
      </c>
    </row>
    <row r="14" spans="1:3" x14ac:dyDescent="0.2">
      <c r="A14" s="9" t="s">
        <v>34</v>
      </c>
      <c r="B14">
        <v>1</v>
      </c>
    </row>
    <row r="15" spans="1:3" x14ac:dyDescent="0.2">
      <c r="A15" s="10" t="s">
        <v>41</v>
      </c>
      <c r="B15">
        <v>1</v>
      </c>
    </row>
    <row r="16" spans="1:3" x14ac:dyDescent="0.2">
      <c r="A16" s="9" t="s">
        <v>35</v>
      </c>
      <c r="B16">
        <v>212</v>
      </c>
    </row>
    <row r="17" spans="1:5" ht="14.25" x14ac:dyDescent="0.2">
      <c r="A17" s="10" t="s">
        <v>41</v>
      </c>
      <c r="B17">
        <v>212</v>
      </c>
      <c r="E17" s="13"/>
    </row>
    <row r="18" spans="1:5" x14ac:dyDescent="0.2">
      <c r="A18" s="8" t="s">
        <v>26</v>
      </c>
      <c r="B18">
        <v>12</v>
      </c>
    </row>
    <row r="19" spans="1:5" x14ac:dyDescent="0.2">
      <c r="A19" s="9" t="s">
        <v>29</v>
      </c>
      <c r="B19">
        <v>12</v>
      </c>
    </row>
    <row r="20" spans="1:5" x14ac:dyDescent="0.2">
      <c r="A20" s="10" t="s">
        <v>41</v>
      </c>
      <c r="B20">
        <v>12</v>
      </c>
    </row>
    <row r="21" spans="1:5" x14ac:dyDescent="0.2">
      <c r="A21" s="8" t="s">
        <v>40</v>
      </c>
      <c r="B21">
        <v>262</v>
      </c>
      <c r="C21">
        <v>3</v>
      </c>
    </row>
    <row r="23" spans="1:5" x14ac:dyDescent="0.2">
      <c r="A23" s="7" t="s">
        <v>39</v>
      </c>
      <c r="B23" s="7" t="s">
        <v>42</v>
      </c>
      <c r="C23" s="7" t="s">
        <v>43</v>
      </c>
    </row>
    <row r="24" spans="1:5" x14ac:dyDescent="0.2">
      <c r="A24" s="8" t="s">
        <v>36</v>
      </c>
      <c r="B24">
        <v>34</v>
      </c>
      <c r="C24">
        <v>2</v>
      </c>
    </row>
    <row r="25" spans="1:5" x14ac:dyDescent="0.2">
      <c r="A25" s="9" t="s">
        <v>30</v>
      </c>
      <c r="B25">
        <v>12</v>
      </c>
      <c r="C25">
        <v>1</v>
      </c>
    </row>
    <row r="26" spans="1:5" x14ac:dyDescent="0.2">
      <c r="A26" s="10" t="s">
        <v>38</v>
      </c>
      <c r="B26">
        <v>12</v>
      </c>
      <c r="C26">
        <v>1</v>
      </c>
    </row>
    <row r="27" spans="1:5" x14ac:dyDescent="0.2">
      <c r="A27" s="9" t="s">
        <v>31</v>
      </c>
      <c r="B27">
        <v>22</v>
      </c>
      <c r="C27">
        <v>1</v>
      </c>
    </row>
    <row r="28" spans="1:5" x14ac:dyDescent="0.2">
      <c r="A28" s="10" t="s">
        <v>38</v>
      </c>
      <c r="B28">
        <v>22</v>
      </c>
      <c r="C28">
        <v>1</v>
      </c>
    </row>
    <row r="29" spans="1:5" x14ac:dyDescent="0.2">
      <c r="A29" s="8" t="s">
        <v>37</v>
      </c>
      <c r="B29">
        <v>216</v>
      </c>
      <c r="C29">
        <v>1</v>
      </c>
    </row>
    <row r="30" spans="1:5" x14ac:dyDescent="0.2">
      <c r="A30" s="9" t="s">
        <v>32</v>
      </c>
      <c r="B30">
        <v>2</v>
      </c>
      <c r="C30">
        <v>1</v>
      </c>
    </row>
    <row r="31" spans="1:5" x14ac:dyDescent="0.2">
      <c r="A31" s="10" t="s">
        <v>38</v>
      </c>
      <c r="B31">
        <v>2</v>
      </c>
      <c r="C31">
        <v>1</v>
      </c>
    </row>
    <row r="32" spans="1:5" x14ac:dyDescent="0.2">
      <c r="A32" s="9" t="s">
        <v>33</v>
      </c>
      <c r="B32">
        <v>1</v>
      </c>
    </row>
    <row r="33" spans="1:3" x14ac:dyDescent="0.2">
      <c r="A33" s="10" t="s">
        <v>41</v>
      </c>
      <c r="B33">
        <v>1</v>
      </c>
    </row>
    <row r="34" spans="1:3" x14ac:dyDescent="0.2">
      <c r="A34" s="9" t="s">
        <v>34</v>
      </c>
      <c r="B34">
        <v>1</v>
      </c>
    </row>
    <row r="35" spans="1:3" x14ac:dyDescent="0.2">
      <c r="A35" s="10" t="s">
        <v>41</v>
      </c>
      <c r="B35">
        <v>1</v>
      </c>
    </row>
    <row r="36" spans="1:3" x14ac:dyDescent="0.2">
      <c r="A36" s="9" t="s">
        <v>35</v>
      </c>
      <c r="B36">
        <v>212</v>
      </c>
    </row>
    <row r="37" spans="1:3" x14ac:dyDescent="0.2">
      <c r="A37" s="10" t="s">
        <v>41</v>
      </c>
      <c r="B37">
        <v>212</v>
      </c>
    </row>
    <row r="38" spans="1:3" x14ac:dyDescent="0.2">
      <c r="A38" s="8" t="s">
        <v>26</v>
      </c>
      <c r="B38">
        <v>12</v>
      </c>
    </row>
    <row r="39" spans="1:3" x14ac:dyDescent="0.2">
      <c r="A39" s="9" t="s">
        <v>29</v>
      </c>
      <c r="B39">
        <v>12</v>
      </c>
    </row>
    <row r="40" spans="1:3" x14ac:dyDescent="0.2">
      <c r="A40" s="10" t="s">
        <v>41</v>
      </c>
      <c r="B40">
        <v>12</v>
      </c>
    </row>
    <row r="41" spans="1:3" x14ac:dyDescent="0.2">
      <c r="A41" s="8" t="s">
        <v>40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Hist</vt:lpstr>
      <vt:lpstr>Structure</vt:lpstr>
      <vt:lpstr>Table examples</vt:lpstr>
      <vt:lpstr>Guide</vt:lpstr>
      <vt:lpstr>Pivot table example</vt:lpstr>
      <vt:lpstr>Guide!Print_Area</vt:lpstr>
      <vt:lpstr>Hist!Print_Area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2020-01-11T08:45:23Z</cp:lastPrinted>
  <dcterms:created xsi:type="dcterms:W3CDTF">2008-06-07T09:53:51Z</dcterms:created>
  <dcterms:modified xsi:type="dcterms:W3CDTF">2020-05-03T08:38:12Z</dcterms:modified>
</cp:coreProperties>
</file>