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/>
  <workbookPr/>
  <mc:AlternateContent xmlns:mc="http://schemas.openxmlformats.org/markup-compatibility/2006">
    <mc:Choice Requires="x15">
      <x15ac:absPath xmlns:x15ac="http://schemas.microsoft.com/office/spreadsheetml/2010/11/ac" url="G:\MG\ISMS\STA-PLA\I800 Asset management\"/>
    </mc:Choice>
  </mc:AlternateContent>
  <bookViews>
    <workbookView xWindow="0" yWindow="0" windowWidth="20490" windowHeight="7320" tabRatio="733"/>
  </bookViews>
  <sheets>
    <sheet name="Hist" sheetId="3" r:id="rId1"/>
    <sheet name="Structure" sheetId="17" r:id="rId2"/>
    <sheet name="Table examples" sheetId="34" r:id="rId3"/>
    <sheet name="Example" sheetId="26" state="hidden" r:id="rId4"/>
  </sheets>
  <definedNames>
    <definedName name="Alex" localSheetId="2">#REF!</definedName>
    <definedName name="Alex">#REF!</definedName>
    <definedName name="_xlnm.Print_Area" localSheetId="3">Example!$A$1:$K$71</definedName>
    <definedName name="_xlnm.Print_Area" localSheetId="2">'Table examples'!$A$1:$E$30</definedName>
  </definedNames>
  <calcPr calcId="171027"/>
</workbook>
</file>

<file path=xl/calcChain.xml><?xml version="1.0" encoding="utf-8"?>
<calcChain xmlns="http://schemas.openxmlformats.org/spreadsheetml/2006/main">
  <c r="E30" i="34" l="1"/>
  <c r="E22" i="34"/>
  <c r="E14" i="34"/>
  <c r="E7" i="34"/>
  <c r="H56" i="26" l="1"/>
  <c r="H44" i="26"/>
  <c r="H31" i="26"/>
  <c r="H18" i="26"/>
</calcChain>
</file>

<file path=xl/sharedStrings.xml><?xml version="1.0" encoding="utf-8"?>
<sst xmlns="http://schemas.openxmlformats.org/spreadsheetml/2006/main" count="161" uniqueCount="82">
  <si>
    <t>Version</t>
  </si>
  <si>
    <t>Classification</t>
  </si>
  <si>
    <t>Date</t>
  </si>
  <si>
    <t>Signature</t>
  </si>
  <si>
    <t>itrust consulting</t>
  </si>
  <si>
    <t>Author</t>
  </si>
  <si>
    <t>Role</t>
  </si>
  <si>
    <t>Name</t>
  </si>
  <si>
    <t>Responsability</t>
  </si>
  <si>
    <t>Owner</t>
  </si>
  <si>
    <t>Status</t>
  </si>
  <si>
    <t>C. Harpes</t>
  </si>
  <si>
    <t>Recipient</t>
  </si>
  <si>
    <t>Channel</t>
  </si>
  <si>
    <t>Content agreement</t>
  </si>
  <si>
    <t>Applicability</t>
  </si>
  <si>
    <t>Change management</t>
  </si>
  <si>
    <t>Information Security Management System (ISMS)</t>
  </si>
  <si>
    <t>Organisation</t>
  </si>
  <si>
    <t>1.0</t>
  </si>
  <si>
    <t>Contents</t>
  </si>
  <si>
    <t>Comments</t>
  </si>
  <si>
    <t>General information</t>
  </si>
  <si>
    <t>Final</t>
  </si>
  <si>
    <t>Total</t>
  </si>
  <si>
    <t>Sequence number</t>
  </si>
  <si>
    <t>Working group</t>
  </si>
  <si>
    <t>Name(s)</t>
  </si>
  <si>
    <t>Distribution list</t>
  </si>
  <si>
    <t>Intranet</t>
  </si>
  <si>
    <t>CISO</t>
  </si>
  <si>
    <t>Managing Director</t>
  </si>
  <si>
    <t>Document history</t>
  </si>
  <si>
    <t>ISMS team members</t>
  </si>
  <si>
    <t>Tab name</t>
  </si>
  <si>
    <t>G. Ramadani</t>
  </si>
  <si>
    <t>See printed version managed by the CISO.</t>
  </si>
  <si>
    <t>Approval</t>
  </si>
  <si>
    <t>Summary of itrust Style (Heading 1)</t>
  </si>
  <si>
    <t>SubTitle (Heading 2)</t>
  </si>
  <si>
    <t>List of Table Style (Heading 3)</t>
  </si>
  <si>
    <t>Table_itrust1 : Clear (Heading 4)</t>
  </si>
  <si>
    <t>C1/H1</t>
  </si>
  <si>
    <t>H2</t>
  </si>
  <si>
    <t>H3</t>
  </si>
  <si>
    <t>H4</t>
  </si>
  <si>
    <t>H5</t>
  </si>
  <si>
    <t>H6</t>
  </si>
  <si>
    <t>Htotal</t>
  </si>
  <si>
    <t>C2</t>
  </si>
  <si>
    <t>C3</t>
  </si>
  <si>
    <t>C4</t>
  </si>
  <si>
    <t>C5</t>
  </si>
  <si>
    <t>C6</t>
  </si>
  <si>
    <t>C7</t>
  </si>
  <si>
    <t>C8</t>
  </si>
  <si>
    <t>C9</t>
  </si>
  <si>
    <t>Table_itrust2 Mix Clear/Medium</t>
  </si>
  <si>
    <t>Table_itrust3: Medium</t>
  </si>
  <si>
    <t>Table_itrust4: Mix Medium/Dark</t>
  </si>
  <si>
    <t>List of Specific Cell style</t>
  </si>
  <si>
    <t>H1</t>
  </si>
  <si>
    <t>Normal</t>
  </si>
  <si>
    <t>Input</t>
  </si>
  <si>
    <t>Calculation</t>
  </si>
  <si>
    <t>Explanary</t>
  </si>
  <si>
    <t>Note</t>
  </si>
  <si>
    <t>Internal</t>
  </si>
  <si>
    <t>Date of application</t>
  </si>
  <si>
    <t>Column1</t>
  </si>
  <si>
    <t>Column2</t>
  </si>
  <si>
    <t>Column3</t>
  </si>
  <si>
    <t>Column4</t>
  </si>
  <si>
    <t>Column5</t>
  </si>
  <si>
    <t>Stucture</t>
  </si>
  <si>
    <t>This tab explains the content of all tabl in this worksheet.</t>
  </si>
  <si>
    <t>Excel template (ITR-XlsTempl)</t>
  </si>
  <si>
    <t>I173</t>
  </si>
  <si>
    <t>Document creation as extract form ITR-AssetInventory v2.9</t>
  </si>
  <si>
    <t>Style: Table_ITR2</t>
  </si>
  <si>
    <t>Style: Table_ITR3</t>
  </si>
  <si>
    <t>Style: Table_ITR4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</si>
</sst>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8"/>
      <color theme="1"/>
      <name val="Corbel"/>
      <family val="2"/>
    </font>
    <font>
      <sz val="10"/>
      <color theme="1"/>
      <name val="Corbel"/>
      <family val="2"/>
    </font>
    <font>
      <sz val="9"/>
      <color theme="1"/>
      <name val="Corbel"/>
      <family val="2"/>
    </font>
    <font>
      <sz val="11"/>
      <color theme="1"/>
      <name val="Corbel"/>
      <family val="2"/>
    </font>
    <font>
      <b/>
      <sz val="11"/>
      <color theme="1"/>
      <name val="Corbel"/>
      <family val="2"/>
    </font>
    <font>
      <b/>
      <sz val="10"/>
      <color indexed="8"/>
      <name val="Corbel"/>
      <family val="2"/>
    </font>
    <font>
      <sz val="11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Arial"/>
      <family val="2"/>
      <scheme val="minor"/>
    </font>
    <font>
      <b/>
      <sz val="11"/>
      <name val="Corbel"/>
      <family val="2"/>
    </font>
    <font>
      <b/>
      <sz val="14"/>
      <color rgb="FF7030A0"/>
      <name val="Corbel"/>
      <family val="2"/>
    </font>
    <font>
      <b/>
      <sz val="20"/>
      <name val="Corbel"/>
      <family val="2"/>
    </font>
    <font>
      <b/>
      <sz val="16"/>
      <name val="Corbel"/>
      <family val="2"/>
    </font>
    <font>
      <b/>
      <sz val="12"/>
      <name val="Corbe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gradientFill>
        <stop position="0">
          <color theme="7" tint="0.40000610370189521"/>
        </stop>
        <stop position="1">
          <color theme="7" tint="0.40000610370189521"/>
        </stop>
      </gradientFill>
    </fill>
    <fill>
      <gradientFill degree="90">
        <stop position="0">
          <color theme="7" tint="0.59999389629810485"/>
        </stop>
        <stop position="1">
          <color theme="7" tint="0.59999389629810485"/>
        </stop>
      </gradientFill>
    </fill>
    <fill>
      <gradientFill degree="90">
        <stop position="0">
          <color theme="7" tint="0.80001220740379042"/>
        </stop>
        <stop position="1">
          <color theme="7" tint="0.80001220740379042"/>
        </stop>
      </gradient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6">
    <xf numFmtId="0" fontId="0" fillId="0" borderId="0"/>
    <xf numFmtId="0" fontId="12" fillId="3" borderId="1" applyNumberFormat="0" applyProtection="0">
      <alignment vertical="center"/>
    </xf>
    <xf numFmtId="0" fontId="13" fillId="4" borderId="1" applyNumberFormat="0" applyProtection="0">
      <alignment vertical="center"/>
    </xf>
    <xf numFmtId="0" fontId="14" fillId="4" borderId="1" applyNumberFormat="0" applyProtection="0">
      <alignment vertical="center"/>
    </xf>
    <xf numFmtId="0" fontId="10" fillId="5" borderId="13" applyNumberFormat="0" applyProtection="0">
      <alignment vertical="center"/>
    </xf>
    <xf numFmtId="0" fontId="7" fillId="0" borderId="0" applyFill="0" applyBorder="0" applyProtection="0">
      <alignment horizontal="left" vertical="top" wrapText="1" indent="1"/>
    </xf>
  </cellStyleXfs>
  <cellXfs count="75">
    <xf numFmtId="0" fontId="0" fillId="0" borderId="0" xfId="0"/>
    <xf numFmtId="14" fontId="6" fillId="0" borderId="2" xfId="0" applyNumberFormat="1" applyFont="1" applyBorder="1" applyAlignment="1">
      <alignment horizontal="left" vertical="center" indent="1"/>
    </xf>
    <xf numFmtId="0" fontId="6" fillId="0" borderId="1" xfId="0" applyFont="1" applyBorder="1" applyAlignment="1">
      <alignment horizontal="left" vertical="center" indent="1"/>
    </xf>
    <xf numFmtId="0" fontId="3" fillId="0" borderId="0" xfId="0" applyFont="1" applyAlignment="1">
      <alignment vertical="center"/>
    </xf>
    <xf numFmtId="0" fontId="8" fillId="0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6" fillId="0" borderId="2" xfId="0" applyFont="1" applyBorder="1" applyAlignment="1">
      <alignment horizontal="left" vertical="center" indent="1"/>
    </xf>
    <xf numFmtId="0" fontId="3" fillId="0" borderId="2" xfId="0" applyFont="1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 wrapText="1" indent="1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4" fillId="0" borderId="10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4" fillId="0" borderId="6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3" fillId="0" borderId="12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13" fillId="4" borderId="1" xfId="2" applyAlignment="1">
      <alignment vertical="center"/>
    </xf>
    <xf numFmtId="0" fontId="10" fillId="5" borderId="13" xfId="4" applyAlignment="1">
      <alignment horizontal="center" vertical="center"/>
    </xf>
    <xf numFmtId="0" fontId="14" fillId="4" borderId="1" xfId="3" applyAlignment="1">
      <alignment horizontal="center" vertical="center"/>
    </xf>
    <xf numFmtId="0" fontId="7" fillId="0" borderId="0" xfId="5">
      <alignment horizontal="left" vertical="top" wrapText="1" indent="1"/>
    </xf>
    <xf numFmtId="0" fontId="12" fillId="3" borderId="1" xfId="1" applyAlignment="1">
      <alignment horizontal="center" vertical="center"/>
    </xf>
    <xf numFmtId="0" fontId="13" fillId="4" borderId="1" xfId="2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4" fillId="4" borderId="1" xfId="3" applyBorder="1" applyAlignment="1">
      <alignment horizontal="center" vertical="center"/>
    </xf>
    <xf numFmtId="0" fontId="10" fillId="5" borderId="13" xfId="4" applyBorder="1" applyAlignment="1">
      <alignment horizontal="left" vertical="center" indent="1"/>
    </xf>
    <xf numFmtId="0" fontId="7" fillId="0" borderId="0" xfId="5" applyBorder="1">
      <alignment horizontal="left" vertical="top" wrapText="1" indent="1"/>
    </xf>
    <xf numFmtId="0" fontId="7" fillId="0" borderId="11" xfId="5" applyBorder="1">
      <alignment horizontal="left" vertical="top" wrapText="1" indent="1"/>
    </xf>
    <xf numFmtId="0" fontId="10" fillId="5" borderId="5" xfId="4" applyBorder="1" applyAlignment="1">
      <alignment horizontal="left" vertical="center" indent="1"/>
    </xf>
    <xf numFmtId="0" fontId="7" fillId="0" borderId="9" xfId="5" applyBorder="1">
      <alignment horizontal="left" vertical="top" wrapText="1" indent="1"/>
    </xf>
    <xf numFmtId="0" fontId="7" fillId="0" borderId="10" xfId="5" applyBorder="1">
      <alignment horizontal="left" vertical="top" wrapText="1" indent="1"/>
    </xf>
    <xf numFmtId="0" fontId="10" fillId="5" borderId="13" xfId="4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5" fillId="0" borderId="0" xfId="0" applyFont="1" applyBorder="1" applyAlignment="1">
      <alignment horizontal="left" vertical="center"/>
    </xf>
    <xf numFmtId="0" fontId="14" fillId="4" borderId="1" xfId="3" applyAlignment="1">
      <alignment horizontal="center" vertical="center"/>
    </xf>
    <xf numFmtId="0" fontId="6" fillId="0" borderId="2" xfId="0" applyFont="1" applyFill="1" applyBorder="1" applyAlignment="1">
      <alignment horizontal="left" vertical="center" indent="1"/>
    </xf>
    <xf numFmtId="0" fontId="6" fillId="0" borderId="3" xfId="0" applyFont="1" applyFill="1" applyBorder="1" applyAlignment="1">
      <alignment horizontal="left" vertical="center" indent="1"/>
    </xf>
    <xf numFmtId="0" fontId="6" fillId="0" borderId="4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 wrapText="1" indent="1"/>
    </xf>
    <xf numFmtId="0" fontId="6" fillId="0" borderId="3" xfId="0" applyFont="1" applyBorder="1" applyAlignment="1">
      <alignment horizontal="left" vertical="center" wrapText="1" indent="1"/>
    </xf>
    <xf numFmtId="0" fontId="6" fillId="0" borderId="4" xfId="0" applyFont="1" applyBorder="1" applyAlignment="1">
      <alignment horizontal="left" vertical="center" wrapText="1" indent="1"/>
    </xf>
    <xf numFmtId="0" fontId="10" fillId="5" borderId="2" xfId="4" applyBorder="1" applyAlignment="1">
      <alignment horizontal="center" vertical="center"/>
    </xf>
    <xf numFmtId="0" fontId="10" fillId="5" borderId="3" xfId="4" applyBorder="1" applyAlignment="1">
      <alignment horizontal="center" vertical="center"/>
    </xf>
    <xf numFmtId="0" fontId="10" fillId="5" borderId="4" xfId="4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 indent="1"/>
    </xf>
    <xf numFmtId="0" fontId="3" fillId="0" borderId="2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2" borderId="1" xfId="2" applyFill="1" applyAlignment="1">
      <alignment horizontal="center" vertical="center"/>
    </xf>
    <xf numFmtId="14" fontId="7" fillId="0" borderId="0" xfId="5" applyNumberFormat="1" applyBorder="1">
      <alignment horizontal="left" vertical="top" wrapText="1" indent="1"/>
    </xf>
    <xf numFmtId="14" fontId="7" fillId="0" borderId="11" xfId="5" applyNumberFormat="1" applyBorder="1">
      <alignment horizontal="left" vertical="top" wrapText="1" indent="1"/>
    </xf>
    <xf numFmtId="0" fontId="1" fillId="0" borderId="9" xfId="5" applyFont="1" applyBorder="1">
      <alignment horizontal="left" vertical="top" wrapText="1" indent="1"/>
    </xf>
    <xf numFmtId="0" fontId="1" fillId="0" borderId="0" xfId="5" applyFont="1">
      <alignment horizontal="left" vertical="top" wrapText="1" indent="1"/>
    </xf>
    <xf numFmtId="0" fontId="0" fillId="0" borderId="0" xfId="0"/>
    <xf numFmtId="0" fontId="1" fillId="0" borderId="0" xfId="5" applyFont="1" applyBorder="1">
      <alignment horizontal="left" vertical="top" wrapText="1" indent="1"/>
    </xf>
    <xf numFmtId="0" fontId="12" fillId="3" borderId="1" xfId="1" applyBorder="1" applyAlignment="1">
      <alignment horizontal="center" vertical="center"/>
    </xf>
  </cellXfs>
  <cellStyles count="6">
    <cellStyle name="Cell-Normal" xfId="5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</cellStyles>
  <dxfs count="123"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B4D99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rgb="FFB4D99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rgb="FF69B43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rgb="FF69B43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5" defaultTableStyle="TableStyleMedium2" defaultPivotStyle="PivotStyleLight16">
    <tableStyle name="Table_itrust2" pivot="0" count="7">
      <tableStyleElement type="wholeTable" dxfId="122"/>
      <tableStyleElement type="headerRow" dxfId="121"/>
      <tableStyleElement type="totalRow" dxfId="120"/>
      <tableStyleElement type="firstColumn" dxfId="119"/>
      <tableStyleElement type="lastColumn" dxfId="118"/>
      <tableStyleElement type="firstRowStripe" dxfId="117"/>
      <tableStyleElement type="firstColumnStripe" dxfId="116"/>
    </tableStyle>
    <tableStyle name="Table_itrust3" pivot="0" count="7">
      <tableStyleElement type="wholeTable" dxfId="115"/>
      <tableStyleElement type="headerRow" dxfId="114"/>
      <tableStyleElement type="totalRow" dxfId="113"/>
      <tableStyleElement type="firstColumn" dxfId="112"/>
      <tableStyleElement type="lastColumn" dxfId="111"/>
      <tableStyleElement type="firstRowStripe" dxfId="110"/>
      <tableStyleElement type="firstColumnStripe" dxfId="109"/>
    </tableStyle>
    <tableStyle name="Table_itrust4" pivot="0" count="7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firstColumnStripe" dxfId="102"/>
    </tableStyle>
    <tableStyle name="Table_LM4" pivot="0" count="7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Table-itrust1" pivot="0" count="7">
      <tableStyleElement type="wholeTable" dxfId="101"/>
      <tableStyleElement type="headerRow" dxfId="100"/>
      <tableStyleElement type="totalRow" dxfId="99"/>
      <tableStyleElement type="firstColumn" dxfId="98"/>
      <tableStyleElement type="lastColumn" dxfId="97"/>
      <tableStyleElement type="firstRowStripe" dxfId="96"/>
      <tableStyleElement type="firstColumnStripe" dxfId="9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130970</xdr:colOff>
      <xdr:row>10</xdr:row>
      <xdr:rowOff>160735</xdr:rowOff>
    </xdr:from>
    <xdr:to>
      <xdr:col>5</xdr:col>
      <xdr:colOff>470298</xdr:colOff>
      <xdr:row>13</xdr:row>
      <xdr:rowOff>148828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B02728-2E2D-44A9-BDF2-4FF07CCFC779}"/>
            </a:ext>
          </a:extLst>
        </xdr:cNvPr>
        <xdr:cNvSpPr txBox="1"/>
      </xdr:nvSpPr>
      <xdr:spPr>
        <a:xfrm>
          <a:off x="3674270" y="2361010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Table_itrust1</a:t>
          </a:r>
        </a:p>
      </xdr:txBody>
    </xdr:sp>
    <xdr:clientData/>
  </xdr:twoCellAnchor>
  <xdr:twoCellAnchor>
    <xdr:from>
      <xdr:col>3</xdr:col>
      <xdr:colOff>107156</xdr:colOff>
      <xdr:row>23</xdr:row>
      <xdr:rowOff>166687</xdr:rowOff>
    </xdr:from>
    <xdr:to>
      <xdr:col>5</xdr:col>
      <xdr:colOff>446484</xdr:colOff>
      <xdr:row>26</xdr:row>
      <xdr:rowOff>154780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0E824DF-2FCF-427E-ABCC-2B718923B96E}"/>
            </a:ext>
          </a:extLst>
        </xdr:cNvPr>
        <xdr:cNvSpPr txBox="1"/>
      </xdr:nvSpPr>
      <xdr:spPr>
        <a:xfrm>
          <a:off x="3650456" y="48434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Table_itrust2</a:t>
          </a:r>
        </a:p>
      </xdr:txBody>
    </xdr:sp>
    <xdr:clientData/>
  </xdr:twoCellAnchor>
  <xdr:twoCellAnchor>
    <xdr:from>
      <xdr:col>3</xdr:col>
      <xdr:colOff>107156</xdr:colOff>
      <xdr:row>36</xdr:row>
      <xdr:rowOff>166687</xdr:rowOff>
    </xdr:from>
    <xdr:to>
      <xdr:col>5</xdr:col>
      <xdr:colOff>446484</xdr:colOff>
      <xdr:row>39</xdr:row>
      <xdr:rowOff>154780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0CC2A34-B0C0-44F8-8BB1-861CB056A8E6}"/>
            </a:ext>
          </a:extLst>
        </xdr:cNvPr>
        <xdr:cNvSpPr txBox="1"/>
      </xdr:nvSpPr>
      <xdr:spPr>
        <a:xfrm>
          <a:off x="3650456" y="7319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Table_itrust3</a:t>
          </a:r>
        </a:p>
      </xdr:txBody>
    </xdr:sp>
    <xdr:clientData/>
  </xdr:twoCellAnchor>
  <xdr:twoCellAnchor>
    <xdr:from>
      <xdr:col>3</xdr:col>
      <xdr:colOff>107156</xdr:colOff>
      <xdr:row>48</xdr:row>
      <xdr:rowOff>166687</xdr:rowOff>
    </xdr:from>
    <xdr:to>
      <xdr:col>5</xdr:col>
      <xdr:colOff>446484</xdr:colOff>
      <xdr:row>51</xdr:row>
      <xdr:rowOff>154780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22D32AD-9135-4304-A5B4-C5F359583556}"/>
            </a:ext>
          </a:extLst>
        </xdr:cNvPr>
        <xdr:cNvSpPr txBox="1"/>
      </xdr:nvSpPr>
      <xdr:spPr>
        <a:xfrm>
          <a:off x="3650456" y="9605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Table_itrust4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le3" displayName="Table3" ref="A1:C8" totalsRowShown="0" headerRowDxfId="94" headerRowCellStyle="Heading 3" dataCellStyle="Cell-Normal">
  <autoFilter ref="A1:C8"/>
  <tableColumns count="3">
    <tableColumn id="1" name="Tab name" dataCellStyle="Cell-Normal"/>
    <tableColumn id="2" name="Contents" dataCellStyle="Cell-Normal"/>
    <tableColumn id="3" name="Comments" dataCellStyle="Cell-Normal"/>
  </tableColumns>
  <tableStyleInfo name="Table_itrust2" showFirstColumn="1" showLastColumn="0" showRowStripes="0" showColumnStripes="0"/>
</table>
</file>

<file path=xl/tables/table2.xml><?xml version="1.0" encoding="utf-8"?>
<table xmlns="http://schemas.openxmlformats.org/spreadsheetml/2006/main" id="25" name="Table2026" displayName="Table2026" ref="A2:E7" totalsRowCount="1">
  <autoFilter ref="A2:E6"/>
  <tableColumns count="5">
    <tableColumn id="1" name="Column1" totalsRowLabel="Total"/>
    <tableColumn id="2" name="Column2"/>
    <tableColumn id="3" name="Column3"/>
    <tableColumn id="4" name="Column4"/>
    <tableColumn id="5" name="Column5" totalsRowFunction="count"/>
  </tableColumns>
  <tableStyleInfo name="Table-itrust1" showFirstColumn="1" showLastColumn="1" showRowStripes="1" showColumnStripes="0"/>
</table>
</file>

<file path=xl/tables/table3.xml><?xml version="1.0" encoding="utf-8"?>
<table xmlns="http://schemas.openxmlformats.org/spreadsheetml/2006/main" id="26" name="Table2127" displayName="Table2127" ref="A10:E14" totalsRowCount="1">
  <autoFilter ref="A10:E13"/>
  <tableColumns count="5">
    <tableColumn id="1" name="Column1" totalsRowLabel="Total"/>
    <tableColumn id="2" name="Column2"/>
    <tableColumn id="3" name="Column3"/>
    <tableColumn id="4" name="Column4"/>
    <tableColumn id="5" name="Column5" totalsRowFunction="count"/>
  </tableColumns>
  <tableStyleInfo name="Table_itrust2" showFirstColumn="1" showLastColumn="0" showRowStripes="1" showColumnStripes="1"/>
</table>
</file>

<file path=xl/tables/table4.xml><?xml version="1.0" encoding="utf-8"?>
<table xmlns="http://schemas.openxmlformats.org/spreadsheetml/2006/main" id="27" name="Table2228" displayName="Table2228" ref="A17:E22" totalsRowCount="1">
  <autoFilter ref="A17:E21"/>
  <tableColumns count="5">
    <tableColumn id="1" name="Column1" totalsRowLabel="Total"/>
    <tableColumn id="2" name="Column2"/>
    <tableColumn id="3" name="Column3"/>
    <tableColumn id="4" name="Column4"/>
    <tableColumn id="5" name="Column5" totalsRowFunction="count"/>
  </tableColumns>
  <tableStyleInfo name="Table_itrust3" showFirstColumn="1" showLastColumn="1" showRowStripes="1" showColumnStripes="1"/>
</table>
</file>

<file path=xl/tables/table5.xml><?xml version="1.0" encoding="utf-8"?>
<table xmlns="http://schemas.openxmlformats.org/spreadsheetml/2006/main" id="28" name="Table2329" displayName="Table2329" ref="A25:E30" totalsRowCount="1">
  <autoFilter ref="A25:E29"/>
  <tableColumns count="5">
    <tableColumn id="1" name="Column1" totalsRowLabel="Total"/>
    <tableColumn id="2" name="Column2"/>
    <tableColumn id="3" name="Column3"/>
    <tableColumn id="4" name="Column4"/>
    <tableColumn id="5" name="Column5" totalsRowFunction="count"/>
  </tableColumns>
  <tableStyleInfo name="Table_itrust4" showFirstColumn="1" showLastColumn="1" showRowStripes="1" showColumnStripes="1"/>
</table>
</file>

<file path=xl/tables/table6.xml><?xml version="1.0" encoding="utf-8"?>
<table xmlns="http://schemas.openxmlformats.org/spreadsheetml/2006/main" id="5" name="Table2" displayName="Table2" ref="B9:H18" totalsRowCount="1" headerRowDxfId="93" dataDxfId="92" totalsRowDxfId="91">
  <autoFilter ref="B9:H17"/>
  <tableColumns count="7">
    <tableColumn id="1" name="C1/H1" totalsRowLabel="Total" dataDxfId="90" totalsRowDxfId="89"/>
    <tableColumn id="2" name="H2" dataDxfId="88" totalsRowDxfId="87"/>
    <tableColumn id="3" name="H3" dataDxfId="86" totalsRowDxfId="85"/>
    <tableColumn id="4" name="H4" dataDxfId="84" totalsRowDxfId="83"/>
    <tableColumn id="5" name="H5" dataDxfId="82" totalsRowDxfId="81"/>
    <tableColumn id="6" name="H6" dataDxfId="80" totalsRowDxfId="79"/>
    <tableColumn id="7" name="Htotal" totalsRowFunction="count" dataDxfId="78" totalsRowDxfId="77"/>
  </tableColumns>
  <tableStyleInfo name="Table-itrust1" showFirstColumn="1" showLastColumn="1" showRowStripes="1" showColumnStripes="0"/>
</table>
</file>

<file path=xl/tables/table7.xml><?xml version="1.0" encoding="utf-8"?>
<table xmlns="http://schemas.openxmlformats.org/spreadsheetml/2006/main" id="10" name="Table311" displayName="Table311" ref="B22:H31" totalsRowCount="1" headerRowDxfId="76" dataDxfId="75" totalsRowDxfId="74">
  <autoFilter ref="B22:H30"/>
  <tableColumns count="7">
    <tableColumn id="1" name="C1/H1" totalsRowLabel="Total" dataDxfId="73" totalsRowDxfId="72"/>
    <tableColumn id="2" name="H2" dataDxfId="71" totalsRowDxfId="70"/>
    <tableColumn id="3" name="H3" dataDxfId="69" totalsRowDxfId="68"/>
    <tableColumn id="4" name="H4" dataDxfId="67" totalsRowDxfId="66"/>
    <tableColumn id="5" name="H5" dataDxfId="65" totalsRowDxfId="64"/>
    <tableColumn id="6" name="H6" dataDxfId="63" totalsRowDxfId="62"/>
    <tableColumn id="7" name="Htotal" totalsRowFunction="count" dataDxfId="61" totalsRowDxfId="60"/>
  </tableColumns>
  <tableStyleInfo name="Table_itrust2" showFirstColumn="1" showLastColumn="1" showRowStripes="1" showColumnStripes="0"/>
</table>
</file>

<file path=xl/tables/table8.xml><?xml version="1.0" encoding="utf-8"?>
<table xmlns="http://schemas.openxmlformats.org/spreadsheetml/2006/main" id="11" name="Table412" displayName="Table412" ref="B35:H44" totalsRowCount="1" headerRowDxfId="59" dataDxfId="57" totalsRowDxfId="55" headerRowBorderDxfId="58" tableBorderDxfId="56" totalsRowBorderDxfId="54">
  <autoFilter ref="B35:H43"/>
  <tableColumns count="7">
    <tableColumn id="1" name="C1/H1" totalsRowLabel="Total" dataDxfId="53" totalsRowDxfId="52"/>
    <tableColumn id="2" name="H2" dataDxfId="51" totalsRowDxfId="50"/>
    <tableColumn id="3" name="H3" dataDxfId="49" totalsRowDxfId="48"/>
    <tableColumn id="4" name="H4" dataDxfId="47" totalsRowDxfId="46"/>
    <tableColumn id="5" name="H5" dataDxfId="45" totalsRowDxfId="44"/>
    <tableColumn id="6" name="H6" dataDxfId="43" totalsRowDxfId="42"/>
    <tableColumn id="7" name="Htotal" totalsRowFunction="count" dataDxfId="41" totalsRowDxfId="40"/>
  </tableColumns>
  <tableStyleInfo name="Table_itrust3" showFirstColumn="1" showLastColumn="1" showRowStripes="1" showColumnStripes="0"/>
</table>
</file>

<file path=xl/tables/table9.xml><?xml version="1.0" encoding="utf-8"?>
<table xmlns="http://schemas.openxmlformats.org/spreadsheetml/2006/main" id="12" name="Table46" displayName="Table46" ref="B47:H56" totalsRowCount="1" headerRowDxfId="39" dataDxfId="37" totalsRowDxfId="35" headerRowBorderDxfId="38" tableBorderDxfId="36" totalsRowBorderDxfId="34">
  <autoFilter ref="B47:H55"/>
  <tableColumns count="7">
    <tableColumn id="1" name="C1/H1" totalsRowLabel="Total" dataDxfId="33" totalsRowDxfId="32"/>
    <tableColumn id="2" name="H2" dataDxfId="31" totalsRowDxfId="30"/>
    <tableColumn id="3" name="H3" dataDxfId="29" totalsRowDxfId="28"/>
    <tableColumn id="4" name="H4" dataDxfId="27" totalsRowDxfId="26"/>
    <tableColumn id="5" name="H5" dataDxfId="25" totalsRowDxfId="24"/>
    <tableColumn id="6" name="H6" dataDxfId="23" totalsRowDxfId="22"/>
    <tableColumn id="7" name="Htotal" totalsRowFunction="count" dataDxfId="21" totalsRowDxfId="20"/>
  </tableColumns>
  <tableStyleInfo name="Table_itrust4" showFirstColumn="1" showLastColumn="1" showRowStripes="1" showColumnStripes="0"/>
</table>
</file>

<file path=xl/tables/table10.xml><?xml version="1.0" encoding="utf-8"?>
<table xmlns="http://schemas.openxmlformats.org/spreadsheetml/2006/main" id="13" name="Table614" displayName="Table614" ref="C60:G70" totalsRowShown="0" headerRowDxfId="19" dataDxfId="17" headerRowBorderDxfId="18" tableBorderDxfId="16" totalsRowBorderDxfId="15">
  <autoFilter ref="C60:G70"/>
  <tableColumns count="5">
    <tableColumn id="1" name="H1" dataDxfId="14"/>
    <tableColumn id="2" name="H2" dataDxfId="13"/>
    <tableColumn id="3" name="H3" dataDxfId="12"/>
    <tableColumn id="4" name="H4" dataDxfId="11"/>
    <tableColumn id="5" name="H5" dataDxfId="10"/>
  </tableColumns>
  <tableStyleInfo name="Table-itrus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trust Theme Fonts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G34"/>
  <sheetViews>
    <sheetView tabSelected="1" view="pageLayout" topLeftCell="A5" zoomScale="70" zoomScaleNormal="85" zoomScalePageLayoutView="70" workbookViewId="0">
      <selection activeCell="J19" sqref="J19"/>
    </sheetView>
  </sheetViews>
  <sheetFormatPr defaultColWidth="9.1640625" defaultRowHeight="15" x14ac:dyDescent="0.2"/>
  <cols>
    <col min="1" max="1" width="12.6640625" style="3" customWidth="1"/>
    <col min="2" max="2" width="15.83203125" style="3" customWidth="1"/>
    <col min="3" max="3" width="27" style="3" customWidth="1"/>
    <col min="4" max="4" width="9.1640625" style="3"/>
    <col min="5" max="5" width="19.83203125" style="3" customWidth="1"/>
    <col min="6" max="6" width="19.33203125" style="3" customWidth="1"/>
    <col min="7" max="7" width="28" style="3" customWidth="1"/>
    <col min="8" max="16384" width="9.1640625" style="3"/>
  </cols>
  <sheetData>
    <row r="1" spans="1:7" ht="26.25" x14ac:dyDescent="0.2">
      <c r="A1" s="37" t="s">
        <v>17</v>
      </c>
      <c r="B1" s="37"/>
      <c r="C1" s="37"/>
      <c r="D1" s="37"/>
      <c r="E1" s="37"/>
      <c r="F1" s="37"/>
      <c r="G1" s="37"/>
    </row>
    <row r="2" spans="1:7" s="4" customFormat="1" ht="23.25" x14ac:dyDescent="0.2">
      <c r="A2" s="38" t="s">
        <v>76</v>
      </c>
      <c r="B2" s="38"/>
      <c r="C2" s="38"/>
      <c r="D2" s="38"/>
      <c r="E2" s="38"/>
      <c r="F2" s="38"/>
      <c r="G2" s="38"/>
    </row>
    <row r="3" spans="1:7" x14ac:dyDescent="0.2">
      <c r="A3" s="39"/>
      <c r="B3" s="39"/>
      <c r="C3" s="39"/>
      <c r="D3" s="39"/>
      <c r="E3" s="39"/>
      <c r="F3" s="39"/>
      <c r="G3" s="39"/>
    </row>
    <row r="4" spans="1:7" ht="19.5" customHeight="1" x14ac:dyDescent="0.2">
      <c r="A4" s="40" t="s">
        <v>22</v>
      </c>
      <c r="B4" s="40"/>
      <c r="C4" s="40"/>
      <c r="D4" s="40"/>
      <c r="E4" s="40"/>
      <c r="F4" s="40"/>
      <c r="G4" s="40"/>
    </row>
    <row r="5" spans="1:7" s="5" customFormat="1" x14ac:dyDescent="0.2">
      <c r="A5" s="41" t="s">
        <v>25</v>
      </c>
      <c r="B5" s="41"/>
      <c r="C5" s="73" t="s">
        <v>77</v>
      </c>
      <c r="D5" s="42"/>
      <c r="E5" s="42"/>
      <c r="F5" s="42"/>
      <c r="G5" s="43"/>
    </row>
    <row r="6" spans="1:7" s="5" customFormat="1" x14ac:dyDescent="0.2">
      <c r="A6" s="41" t="s">
        <v>0</v>
      </c>
      <c r="B6" s="41"/>
      <c r="C6" s="42">
        <v>1</v>
      </c>
      <c r="D6" s="42"/>
      <c r="E6" s="42"/>
      <c r="F6" s="42"/>
      <c r="G6" s="43"/>
    </row>
    <row r="7" spans="1:7" s="5" customFormat="1" x14ac:dyDescent="0.2">
      <c r="A7" s="41" t="s">
        <v>10</v>
      </c>
      <c r="B7" s="41"/>
      <c r="C7" s="42" t="s">
        <v>23</v>
      </c>
      <c r="D7" s="42"/>
      <c r="E7" s="42"/>
      <c r="F7" s="42"/>
      <c r="G7" s="43"/>
    </row>
    <row r="8" spans="1:7" s="5" customFormat="1" x14ac:dyDescent="0.2">
      <c r="A8" s="41" t="s">
        <v>9</v>
      </c>
      <c r="B8" s="41"/>
      <c r="C8" s="42" t="s">
        <v>30</v>
      </c>
      <c r="D8" s="42"/>
      <c r="E8" s="42"/>
      <c r="F8" s="42"/>
      <c r="G8" s="43"/>
    </row>
    <row r="9" spans="1:7" s="5" customFormat="1" x14ac:dyDescent="0.2">
      <c r="A9" s="41" t="s">
        <v>68</v>
      </c>
      <c r="B9" s="41"/>
      <c r="C9" s="68">
        <v>43250</v>
      </c>
      <c r="D9" s="68"/>
      <c r="E9" s="68"/>
      <c r="F9" s="68"/>
      <c r="G9" s="69"/>
    </row>
    <row r="10" spans="1:7" s="5" customFormat="1" x14ac:dyDescent="0.2">
      <c r="A10" s="44" t="s">
        <v>1</v>
      </c>
      <c r="B10" s="44"/>
      <c r="C10" s="70" t="s">
        <v>67</v>
      </c>
      <c r="D10" s="45"/>
      <c r="E10" s="45"/>
      <c r="F10" s="45"/>
      <c r="G10" s="46"/>
    </row>
    <row r="11" spans="1:7" s="5" customFormat="1" ht="12.75" x14ac:dyDescent="0.2">
      <c r="A11" s="49"/>
      <c r="B11" s="49"/>
      <c r="C11" s="49"/>
      <c r="D11" s="49"/>
      <c r="E11" s="49"/>
      <c r="F11" s="49"/>
      <c r="G11" s="49"/>
    </row>
    <row r="12" spans="1:7" ht="15.75" x14ac:dyDescent="0.2">
      <c r="A12" s="50" t="s">
        <v>26</v>
      </c>
      <c r="B12" s="50"/>
      <c r="C12" s="50"/>
      <c r="D12" s="50"/>
      <c r="E12" s="50"/>
      <c r="F12" s="50"/>
      <c r="G12" s="50"/>
    </row>
    <row r="13" spans="1:7" x14ac:dyDescent="0.2">
      <c r="A13" s="47" t="s">
        <v>27</v>
      </c>
      <c r="B13" s="47"/>
      <c r="C13" s="47"/>
      <c r="D13" s="47" t="s">
        <v>18</v>
      </c>
      <c r="E13" s="47"/>
      <c r="F13" s="47"/>
      <c r="G13" s="47"/>
    </row>
    <row r="14" spans="1:7" x14ac:dyDescent="0.2">
      <c r="A14" s="48" t="s">
        <v>11</v>
      </c>
      <c r="B14" s="48"/>
      <c r="C14" s="48"/>
      <c r="D14" s="48" t="s">
        <v>4</v>
      </c>
      <c r="E14" s="48"/>
      <c r="F14" s="48"/>
      <c r="G14" s="48"/>
    </row>
    <row r="15" spans="1:7" s="5" customFormat="1" ht="12.75" x14ac:dyDescent="0.2">
      <c r="A15" s="49"/>
      <c r="B15" s="49"/>
      <c r="C15" s="49"/>
      <c r="D15" s="49"/>
      <c r="E15" s="49"/>
      <c r="F15" s="49"/>
      <c r="G15" s="49"/>
    </row>
    <row r="16" spans="1:7" ht="15.75" x14ac:dyDescent="0.2">
      <c r="A16" s="50" t="s">
        <v>28</v>
      </c>
      <c r="B16" s="50"/>
      <c r="C16" s="50"/>
      <c r="D16" s="50"/>
      <c r="E16" s="50"/>
      <c r="F16" s="50"/>
      <c r="G16" s="50"/>
    </row>
    <row r="17" spans="1:7" x14ac:dyDescent="0.2">
      <c r="A17" s="47" t="s">
        <v>12</v>
      </c>
      <c r="B17" s="47"/>
      <c r="C17" s="34" t="s">
        <v>2</v>
      </c>
      <c r="D17" s="47" t="s">
        <v>13</v>
      </c>
      <c r="E17" s="47"/>
      <c r="F17" s="47"/>
      <c r="G17" s="47"/>
    </row>
    <row r="18" spans="1:7" x14ac:dyDescent="0.2">
      <c r="A18" s="51" t="s">
        <v>33</v>
      </c>
      <c r="B18" s="52"/>
      <c r="C18" s="1">
        <v>43243</v>
      </c>
      <c r="D18" s="51" t="s">
        <v>29</v>
      </c>
      <c r="E18" s="53"/>
      <c r="F18" s="61"/>
      <c r="G18" s="61"/>
    </row>
    <row r="19" spans="1:7" x14ac:dyDescent="0.2">
      <c r="A19" s="54"/>
      <c r="B19" s="54"/>
      <c r="C19" s="54"/>
      <c r="D19" s="54"/>
      <c r="E19" s="54"/>
      <c r="F19" s="54"/>
      <c r="G19" s="54"/>
    </row>
    <row r="20" spans="1:7" ht="15.75" x14ac:dyDescent="0.2">
      <c r="A20" s="50" t="s">
        <v>37</v>
      </c>
      <c r="B20" s="50"/>
      <c r="C20" s="50"/>
      <c r="D20" s="50"/>
      <c r="E20" s="50"/>
      <c r="F20" s="50"/>
      <c r="G20" s="50"/>
    </row>
    <row r="21" spans="1:7" x14ac:dyDescent="0.2">
      <c r="A21" s="47" t="s">
        <v>7</v>
      </c>
      <c r="B21" s="47"/>
      <c r="C21" s="34" t="s">
        <v>6</v>
      </c>
      <c r="D21" s="47" t="s">
        <v>8</v>
      </c>
      <c r="E21" s="47"/>
      <c r="F21" s="34" t="s">
        <v>2</v>
      </c>
      <c r="G21" s="34" t="s">
        <v>3</v>
      </c>
    </row>
    <row r="22" spans="1:7" ht="32.25" customHeight="1" x14ac:dyDescent="0.2">
      <c r="A22" s="62" t="s">
        <v>35</v>
      </c>
      <c r="B22" s="63"/>
      <c r="C22" s="7" t="s">
        <v>30</v>
      </c>
      <c r="D22" s="62" t="s">
        <v>14</v>
      </c>
      <c r="E22" s="64"/>
      <c r="F22" s="1">
        <v>43243</v>
      </c>
      <c r="G22" s="8" t="s">
        <v>36</v>
      </c>
    </row>
    <row r="23" spans="1:7" ht="32.25" customHeight="1" x14ac:dyDescent="0.2">
      <c r="A23" s="62" t="s">
        <v>11</v>
      </c>
      <c r="B23" s="63"/>
      <c r="C23" s="7" t="s">
        <v>31</v>
      </c>
      <c r="D23" s="62" t="s">
        <v>15</v>
      </c>
      <c r="E23" s="64"/>
      <c r="F23" s="1">
        <v>43243</v>
      </c>
      <c r="G23" s="8" t="s">
        <v>36</v>
      </c>
    </row>
    <row r="24" spans="1:7" x14ac:dyDescent="0.2">
      <c r="A24" s="65"/>
      <c r="B24" s="65"/>
      <c r="C24" s="65"/>
      <c r="D24" s="65"/>
      <c r="E24" s="65"/>
      <c r="F24" s="65"/>
      <c r="G24" s="65"/>
    </row>
    <row r="25" spans="1:7" ht="15.75" x14ac:dyDescent="0.2">
      <c r="A25" s="50" t="s">
        <v>32</v>
      </c>
      <c r="B25" s="50"/>
      <c r="C25" s="50"/>
      <c r="D25" s="50"/>
      <c r="E25" s="50"/>
      <c r="F25" s="50"/>
      <c r="G25" s="50"/>
    </row>
    <row r="26" spans="1:7" x14ac:dyDescent="0.2">
      <c r="A26" s="34" t="s">
        <v>0</v>
      </c>
      <c r="B26" s="34" t="s">
        <v>2</v>
      </c>
      <c r="C26" s="34" t="s">
        <v>5</v>
      </c>
      <c r="D26" s="58" t="s">
        <v>16</v>
      </c>
      <c r="E26" s="59"/>
      <c r="F26" s="59"/>
      <c r="G26" s="60"/>
    </row>
    <row r="27" spans="1:7" x14ac:dyDescent="0.2">
      <c r="A27" s="2" t="s">
        <v>19</v>
      </c>
      <c r="B27" s="1">
        <v>43243</v>
      </c>
      <c r="C27" s="6" t="s">
        <v>11</v>
      </c>
      <c r="D27" s="55" t="s">
        <v>78</v>
      </c>
      <c r="E27" s="56"/>
      <c r="F27" s="56"/>
      <c r="G27" s="57"/>
    </row>
    <row r="28" spans="1:7" x14ac:dyDescent="0.2">
      <c r="A28" s="2"/>
      <c r="B28" s="1"/>
      <c r="C28" s="6"/>
      <c r="D28" s="55"/>
      <c r="E28" s="56"/>
      <c r="F28" s="56"/>
      <c r="G28" s="57"/>
    </row>
    <row r="29" spans="1:7" x14ac:dyDescent="0.2">
      <c r="A29" s="2"/>
      <c r="B29" s="1"/>
      <c r="C29" s="6"/>
      <c r="D29" s="55"/>
      <c r="E29" s="56"/>
      <c r="F29" s="56"/>
      <c r="G29" s="57"/>
    </row>
    <row r="30" spans="1:7" x14ac:dyDescent="0.2">
      <c r="A30" s="2"/>
      <c r="B30" s="1"/>
      <c r="C30" s="6"/>
      <c r="D30" s="55"/>
      <c r="E30" s="56"/>
      <c r="F30" s="56"/>
      <c r="G30" s="57"/>
    </row>
    <row r="31" spans="1:7" x14ac:dyDescent="0.2">
      <c r="A31" s="2"/>
      <c r="B31" s="1"/>
      <c r="C31" s="6"/>
      <c r="D31" s="55"/>
      <c r="E31" s="56"/>
      <c r="F31" s="56"/>
      <c r="G31" s="57"/>
    </row>
    <row r="32" spans="1:7" x14ac:dyDescent="0.2">
      <c r="A32" s="2"/>
      <c r="B32" s="1"/>
      <c r="C32" s="6"/>
      <c r="D32" s="55"/>
      <c r="E32" s="56"/>
      <c r="F32" s="56"/>
      <c r="G32" s="57"/>
    </row>
    <row r="33" spans="1:7" x14ac:dyDescent="0.2">
      <c r="A33" s="2"/>
      <c r="B33" s="1"/>
      <c r="C33" s="6"/>
      <c r="D33" s="55"/>
      <c r="E33" s="56"/>
      <c r="F33" s="56"/>
      <c r="G33" s="57"/>
    </row>
    <row r="34" spans="1:7" x14ac:dyDescent="0.2">
      <c r="A34" s="2"/>
      <c r="B34" s="1"/>
      <c r="C34" s="6"/>
      <c r="D34" s="55"/>
      <c r="E34" s="56"/>
      <c r="F34" s="56"/>
      <c r="G34" s="57"/>
    </row>
  </sheetData>
  <mergeCells count="49">
    <mergeCell ref="D34:G34"/>
    <mergeCell ref="D29:G29"/>
    <mergeCell ref="D30:G30"/>
    <mergeCell ref="D31:G31"/>
    <mergeCell ref="D32:G32"/>
    <mergeCell ref="D33:G33"/>
    <mergeCell ref="D28:G28"/>
    <mergeCell ref="A11:G11"/>
    <mergeCell ref="A12:G12"/>
    <mergeCell ref="A25:G25"/>
    <mergeCell ref="D26:G26"/>
    <mergeCell ref="D27:G27"/>
    <mergeCell ref="A13:C13"/>
    <mergeCell ref="D13:G13"/>
    <mergeCell ref="F18:G18"/>
    <mergeCell ref="A20:G20"/>
    <mergeCell ref="A22:B22"/>
    <mergeCell ref="D22:E22"/>
    <mergeCell ref="A23:B23"/>
    <mergeCell ref="D23:E23"/>
    <mergeCell ref="A24:G24"/>
    <mergeCell ref="A9:B9"/>
    <mergeCell ref="C9:G9"/>
    <mergeCell ref="A10:B10"/>
    <mergeCell ref="C10:G10"/>
    <mergeCell ref="A21:B21"/>
    <mergeCell ref="D21:E21"/>
    <mergeCell ref="A14:C14"/>
    <mergeCell ref="D14:G14"/>
    <mergeCell ref="A15:G15"/>
    <mergeCell ref="A16:G16"/>
    <mergeCell ref="A17:B17"/>
    <mergeCell ref="D17:E17"/>
    <mergeCell ref="F17:G17"/>
    <mergeCell ref="A18:B18"/>
    <mergeCell ref="D18:E18"/>
    <mergeCell ref="A19:G19"/>
    <mergeCell ref="A6:B6"/>
    <mergeCell ref="C6:G6"/>
    <mergeCell ref="A7:B7"/>
    <mergeCell ref="C7:G7"/>
    <mergeCell ref="A8:B8"/>
    <mergeCell ref="C8:G8"/>
    <mergeCell ref="A1:G1"/>
    <mergeCell ref="A2:G2"/>
    <mergeCell ref="A3:G3"/>
    <mergeCell ref="A4:G4"/>
    <mergeCell ref="A5:B5"/>
    <mergeCell ref="C5:G5"/>
  </mergeCells>
  <phoneticPr fontId="9" type="noConversion"/>
  <printOptions horizontalCentered="1"/>
  <pageMargins left="0.20208333333333334" right="0.20416666666666666" top="0.94488188976377963" bottom="0.74803149606299213" header="0.31496062992125984" footer="0.31496062992125984"/>
  <pageSetup paperSize="9" fitToHeight="100" orientation="portrait" r:id="rId1"/>
  <headerFooter>
    <oddHeader>&amp;L&amp;"Corbel,Regular"&amp;8&amp;G</oddHeader>
    <oddFooter>&amp;L&amp;"Corbel,Regular"&amp;8&amp;F&amp;C&amp;"Corbel,Regular"&amp;8&amp;D - &amp;T&amp;R
&amp;"Corbel,Regular"&amp;8&amp;A - &amp;P/&amp;N</oddFooter>
  </headerFooter>
  <ignoredErrors>
    <ignoredError sqref="A27" numberStoredAsText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view="pageLayout" zoomScale="85" zoomScaleNormal="85" zoomScalePageLayoutView="85" workbookViewId="0">
      <selection sqref="A1:C8"/>
    </sheetView>
  </sheetViews>
  <sheetFormatPr defaultColWidth="9.1640625" defaultRowHeight="15" x14ac:dyDescent="0.2"/>
  <cols>
    <col min="1" max="1" width="20.1640625" style="3" customWidth="1"/>
    <col min="2" max="2" width="47.83203125" style="3" customWidth="1"/>
    <col min="3" max="3" width="53.5" style="3" customWidth="1"/>
    <col min="4" max="16384" width="9.1640625" style="3"/>
  </cols>
  <sheetData>
    <row r="1" spans="1:3" ht="23.25" customHeight="1" x14ac:dyDescent="0.2">
      <c r="A1" s="35" t="s">
        <v>34</v>
      </c>
      <c r="B1" s="35" t="s">
        <v>20</v>
      </c>
      <c r="C1" s="35" t="s">
        <v>21</v>
      </c>
    </row>
    <row r="2" spans="1:3" ht="25.5" x14ac:dyDescent="0.2">
      <c r="A2" s="71" t="s">
        <v>74</v>
      </c>
      <c r="B2" s="71" t="s">
        <v>75</v>
      </c>
      <c r="C2" s="36"/>
    </row>
    <row r="3" spans="1:3" x14ac:dyDescent="0.2">
      <c r="A3" s="36"/>
      <c r="B3" s="36"/>
      <c r="C3" s="36"/>
    </row>
    <row r="4" spans="1:3" x14ac:dyDescent="0.2">
      <c r="A4" s="36"/>
      <c r="B4" s="36"/>
      <c r="C4" s="36"/>
    </row>
    <row r="5" spans="1:3" x14ac:dyDescent="0.2">
      <c r="A5" s="36"/>
      <c r="B5" s="36"/>
      <c r="C5" s="36"/>
    </row>
    <row r="6" spans="1:3" x14ac:dyDescent="0.2">
      <c r="A6" s="36"/>
      <c r="B6" s="36"/>
      <c r="C6" s="36"/>
    </row>
    <row r="7" spans="1:3" x14ac:dyDescent="0.2">
      <c r="A7" s="36"/>
      <c r="B7" s="36"/>
      <c r="C7" s="36"/>
    </row>
    <row r="8" spans="1:3" x14ac:dyDescent="0.2">
      <c r="A8" s="36"/>
      <c r="B8" s="36"/>
      <c r="C8" s="36"/>
    </row>
  </sheetData>
  <phoneticPr fontId="9" type="noConversion"/>
  <conditionalFormatting sqref="B2:B8">
    <cfRule type="cellIs" dxfId="2" priority="16" stopIfTrue="1" operator="equal">
      <formula>"Policy"</formula>
    </cfRule>
    <cfRule type="cellIs" dxfId="1" priority="17" stopIfTrue="1" operator="equal">
      <formula>"Procedure"</formula>
    </cfRule>
    <cfRule type="cellIs" dxfId="0" priority="18" stopIfTrue="1" operator="equal">
      <formula>"Standard"</formula>
    </cfRule>
  </conditionalFormatting>
  <pageMargins left="0.19927536231884058" right="0.23958333333333334" top="0.9873188405797102" bottom="0.75" header="0.3" footer="0.3"/>
  <pageSetup orientation="landscape" r:id="rId1"/>
  <headerFooter>
    <oddHeader>&amp;L&amp;G&amp;R&amp;K7030A0Client:&amp;K01+000 itrust consulting s.à r.l.
&amp;K7030A0 Project:&amp;K01+000 Information Security Management System (ISMS)
&amp;K7030A0 Title:&amp;K01+000 Asset inventory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30"/>
  <sheetViews>
    <sheetView view="pageLayout" zoomScale="85" zoomScaleNormal="85" zoomScalePageLayoutView="85" workbookViewId="0">
      <selection activeCell="I7" sqref="I7"/>
    </sheetView>
  </sheetViews>
  <sheetFormatPr defaultColWidth="9.1640625" defaultRowHeight="15" x14ac:dyDescent="0.2"/>
  <cols>
    <col min="1" max="16384" width="9.1640625" style="9"/>
  </cols>
  <sheetData>
    <row r="1" spans="1:5" ht="26.25" x14ac:dyDescent="0.2">
      <c r="A1" s="74" t="s">
        <v>79</v>
      </c>
      <c r="B1" s="74"/>
      <c r="C1" s="74"/>
      <c r="D1" s="74"/>
      <c r="E1" s="74"/>
    </row>
    <row r="2" spans="1:5" ht="23.25" customHeight="1" x14ac:dyDescent="0.2">
      <c r="A2" s="72" t="s">
        <v>69</v>
      </c>
      <c r="B2" s="72" t="s">
        <v>70</v>
      </c>
      <c r="C2" s="72" t="s">
        <v>71</v>
      </c>
      <c r="D2" s="72" t="s">
        <v>72</v>
      </c>
      <c r="E2" s="72" t="s">
        <v>73</v>
      </c>
    </row>
    <row r="3" spans="1:5" x14ac:dyDescent="0.2">
      <c r="A3" s="72"/>
      <c r="B3" s="72"/>
      <c r="C3" s="72"/>
      <c r="D3" s="72"/>
      <c r="E3" s="72"/>
    </row>
    <row r="4" spans="1:5" x14ac:dyDescent="0.2">
      <c r="A4" s="72"/>
      <c r="B4" s="72"/>
      <c r="C4" s="72"/>
      <c r="D4" s="72"/>
      <c r="E4" s="72"/>
    </row>
    <row r="5" spans="1:5" x14ac:dyDescent="0.2">
      <c r="A5" s="72"/>
      <c r="B5" s="72"/>
      <c r="C5" s="72"/>
      <c r="D5" s="72"/>
      <c r="E5" s="72"/>
    </row>
    <row r="6" spans="1:5" x14ac:dyDescent="0.2">
      <c r="A6" s="72"/>
      <c r="B6" s="72"/>
      <c r="C6" s="72"/>
      <c r="D6" s="72"/>
      <c r="E6" s="72"/>
    </row>
    <row r="7" spans="1:5" x14ac:dyDescent="0.2">
      <c r="A7" s="72" t="s">
        <v>24</v>
      </c>
      <c r="B7" s="72"/>
      <c r="C7" s="72"/>
      <c r="D7" s="72"/>
      <c r="E7" s="72">
        <f>SUBTOTAL(103,Table2026[Column5])</f>
        <v>0</v>
      </c>
    </row>
    <row r="8" spans="1:5" x14ac:dyDescent="0.2">
      <c r="A8" s="72"/>
      <c r="B8" s="72"/>
      <c r="C8" s="72"/>
      <c r="D8" s="72"/>
      <c r="E8" s="72"/>
    </row>
    <row r="9" spans="1:5" ht="26.25" x14ac:dyDescent="0.2">
      <c r="A9" s="74" t="s">
        <v>79</v>
      </c>
      <c r="B9" s="74"/>
      <c r="C9" s="74"/>
      <c r="D9" s="74"/>
      <c r="E9" s="74"/>
    </row>
    <row r="10" spans="1:5" x14ac:dyDescent="0.2">
      <c r="A10" s="72" t="s">
        <v>69</v>
      </c>
      <c r="B10" s="72" t="s">
        <v>70</v>
      </c>
      <c r="C10" s="72" t="s">
        <v>71</v>
      </c>
      <c r="D10" s="72" t="s">
        <v>72</v>
      </c>
      <c r="E10" s="72" t="s">
        <v>73</v>
      </c>
    </row>
    <row r="11" spans="1:5" x14ac:dyDescent="0.2">
      <c r="A11" s="72"/>
      <c r="B11" s="72"/>
      <c r="C11" s="72"/>
      <c r="D11" s="72"/>
      <c r="E11" s="72"/>
    </row>
    <row r="12" spans="1:5" x14ac:dyDescent="0.2">
      <c r="A12" s="72"/>
      <c r="B12" s="72"/>
      <c r="C12" s="72"/>
      <c r="D12" s="72"/>
      <c r="E12" s="72"/>
    </row>
    <row r="13" spans="1:5" x14ac:dyDescent="0.2">
      <c r="A13" s="72"/>
      <c r="B13" s="72"/>
      <c r="C13" s="72"/>
      <c r="D13" s="72"/>
      <c r="E13" s="72"/>
    </row>
    <row r="14" spans="1:5" x14ac:dyDescent="0.2">
      <c r="A14" s="72" t="s">
        <v>24</v>
      </c>
      <c r="B14" s="72"/>
      <c r="C14" s="72"/>
      <c r="D14" s="72"/>
      <c r="E14" s="72">
        <f>SUBTOTAL(103,Table2127[Column5])</f>
        <v>0</v>
      </c>
    </row>
    <row r="15" spans="1:5" x14ac:dyDescent="0.2">
      <c r="A15" s="72"/>
      <c r="B15" s="72"/>
      <c r="C15" s="72"/>
      <c r="D15" s="72"/>
      <c r="E15" s="72"/>
    </row>
    <row r="16" spans="1:5" ht="26.25" x14ac:dyDescent="0.2">
      <c r="A16" s="74" t="s">
        <v>80</v>
      </c>
      <c r="B16" s="74"/>
      <c r="C16" s="74"/>
      <c r="D16" s="74"/>
      <c r="E16" s="74"/>
    </row>
    <row r="17" spans="1:5" x14ac:dyDescent="0.2">
      <c r="A17" s="72" t="s">
        <v>69</v>
      </c>
      <c r="B17" s="72" t="s">
        <v>70</v>
      </c>
      <c r="C17" s="72" t="s">
        <v>71</v>
      </c>
      <c r="D17" s="72" t="s">
        <v>72</v>
      </c>
      <c r="E17" s="72" t="s">
        <v>73</v>
      </c>
    </row>
    <row r="18" spans="1:5" x14ac:dyDescent="0.2">
      <c r="A18" s="72"/>
      <c r="B18" s="72"/>
      <c r="C18" s="72"/>
      <c r="D18" s="72"/>
      <c r="E18" s="72"/>
    </row>
    <row r="19" spans="1:5" x14ac:dyDescent="0.2">
      <c r="A19" s="72"/>
      <c r="B19" s="72"/>
      <c r="C19" s="72"/>
      <c r="D19" s="72"/>
      <c r="E19" s="72"/>
    </row>
    <row r="20" spans="1:5" x14ac:dyDescent="0.2">
      <c r="A20" s="72"/>
      <c r="B20" s="72"/>
      <c r="C20" s="72"/>
      <c r="D20" s="72"/>
      <c r="E20" s="72"/>
    </row>
    <row r="21" spans="1:5" x14ac:dyDescent="0.2">
      <c r="A21" s="72"/>
      <c r="B21" s="72"/>
      <c r="C21" s="72"/>
      <c r="D21" s="72"/>
      <c r="E21" s="72"/>
    </row>
    <row r="22" spans="1:5" x14ac:dyDescent="0.2">
      <c r="A22" s="72" t="s">
        <v>24</v>
      </c>
      <c r="B22" s="72"/>
      <c r="C22" s="72"/>
      <c r="D22" s="72"/>
      <c r="E22" s="72">
        <f>SUBTOTAL(103,Table2228[Column5])</f>
        <v>0</v>
      </c>
    </row>
    <row r="23" spans="1:5" x14ac:dyDescent="0.2">
      <c r="A23" s="72"/>
      <c r="B23" s="72"/>
      <c r="C23" s="72"/>
      <c r="D23" s="72"/>
      <c r="E23" s="72"/>
    </row>
    <row r="24" spans="1:5" ht="26.25" x14ac:dyDescent="0.2">
      <c r="A24" s="74" t="s">
        <v>81</v>
      </c>
      <c r="B24" s="74"/>
      <c r="C24" s="74"/>
      <c r="D24" s="74"/>
      <c r="E24" s="74"/>
    </row>
    <row r="25" spans="1:5" x14ac:dyDescent="0.2">
      <c r="A25" s="72" t="s">
        <v>69</v>
      </c>
      <c r="B25" s="72" t="s">
        <v>70</v>
      </c>
      <c r="C25" s="72" t="s">
        <v>71</v>
      </c>
      <c r="D25" s="72" t="s">
        <v>72</v>
      </c>
      <c r="E25" s="72" t="s">
        <v>73</v>
      </c>
    </row>
    <row r="26" spans="1:5" x14ac:dyDescent="0.2">
      <c r="A26" s="72"/>
      <c r="B26" s="72"/>
      <c r="C26" s="72"/>
      <c r="D26" s="72"/>
      <c r="E26" s="72"/>
    </row>
    <row r="27" spans="1:5" x14ac:dyDescent="0.2">
      <c r="A27" s="72"/>
      <c r="B27" s="72"/>
      <c r="C27" s="72"/>
      <c r="D27" s="72"/>
      <c r="E27" s="72"/>
    </row>
    <row r="28" spans="1:5" x14ac:dyDescent="0.2">
      <c r="A28" s="72"/>
      <c r="B28" s="72"/>
      <c r="C28" s="72"/>
      <c r="D28" s="72"/>
      <c r="E28" s="72"/>
    </row>
    <row r="29" spans="1:5" x14ac:dyDescent="0.2">
      <c r="A29" s="72"/>
      <c r="B29" s="72"/>
      <c r="C29" s="72"/>
      <c r="D29" s="72"/>
      <c r="E29" s="72"/>
    </row>
    <row r="30" spans="1:5" x14ac:dyDescent="0.2">
      <c r="A30" s="72" t="s">
        <v>24</v>
      </c>
      <c r="B30" s="72"/>
      <c r="C30" s="72"/>
      <c r="D30" s="72"/>
      <c r="E30" s="72">
        <f>SUBTOTAL(103,Table2329[Column5])</f>
        <v>0</v>
      </c>
    </row>
  </sheetData>
  <mergeCells count="4">
    <mergeCell ref="A24:E24"/>
    <mergeCell ref="A16:E16"/>
    <mergeCell ref="A9:E9"/>
    <mergeCell ref="A1:E1"/>
  </mergeCells>
  <pageMargins left="0.19685039370078741" right="0.23622047244094491" top="0.98425196850393704" bottom="0.74803149606299213" header="0.31496062992125984" footer="0.31496062992125984"/>
  <pageSetup orientation="portrait" r:id="rId1"/>
  <headerFooter>
    <oddHeader>&amp;L&amp;G&amp;R&amp;K7030A0Client:&amp;K01+000 itrust consulting s.à r.l.
&amp;K7030A0 Project:&amp;K01+000 Information Security Management System (ISMS)
&amp;K7030A0 Title:&amp;K01+000 Asset inventory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0"/>
  <sheetViews>
    <sheetView view="pageLayout" zoomScale="85" zoomScaleNormal="100" zoomScalePageLayoutView="85" workbookViewId="0">
      <selection activeCell="A5" sqref="A5"/>
    </sheetView>
  </sheetViews>
  <sheetFormatPr defaultRowHeight="15" x14ac:dyDescent="0.2"/>
  <cols>
    <col min="1" max="1" width="53.5" style="9" customWidth="1"/>
    <col min="2" max="2" width="12.1640625" style="9" customWidth="1"/>
    <col min="3" max="4" width="8.1640625" style="9" customWidth="1"/>
    <col min="5" max="5" width="14" style="9" customWidth="1"/>
    <col min="6" max="6" width="13.83203125" style="9" customWidth="1"/>
    <col min="7" max="7" width="9.1640625" style="9" customWidth="1"/>
    <col min="8" max="8" width="13" style="9" customWidth="1"/>
    <col min="9" max="16384" width="9.33203125" style="9"/>
  </cols>
  <sheetData>
    <row r="1" spans="1:11" x14ac:dyDescent="0.2">
      <c r="A1" s="66" t="s">
        <v>38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3" spans="1:11" ht="21" x14ac:dyDescent="0.2">
      <c r="A3" s="67" t="s">
        <v>39</v>
      </c>
      <c r="B3" s="67"/>
      <c r="C3" s="67"/>
      <c r="D3" s="67"/>
      <c r="E3" s="67"/>
      <c r="F3" s="67"/>
      <c r="G3" s="67"/>
      <c r="H3" s="67"/>
      <c r="I3" s="67"/>
      <c r="J3" s="67"/>
      <c r="K3" s="67"/>
    </row>
    <row r="5" spans="1:11" x14ac:dyDescent="0.2">
      <c r="A5" s="10" t="s">
        <v>40</v>
      </c>
    </row>
    <row r="7" spans="1:11" x14ac:dyDescent="0.2">
      <c r="A7" s="11" t="s">
        <v>41</v>
      </c>
    </row>
    <row r="9" spans="1:11" ht="21" x14ac:dyDescent="0.2">
      <c r="B9" s="33" t="s">
        <v>42</v>
      </c>
      <c r="C9" s="9" t="s">
        <v>43</v>
      </c>
      <c r="D9" s="9" t="s">
        <v>44</v>
      </c>
      <c r="E9" s="9" t="s">
        <v>45</v>
      </c>
      <c r="F9" s="9" t="s">
        <v>46</v>
      </c>
      <c r="G9" s="9" t="s">
        <v>47</v>
      </c>
      <c r="H9" s="9" t="s">
        <v>48</v>
      </c>
    </row>
    <row r="10" spans="1:11" x14ac:dyDescent="0.2">
      <c r="B10" s="9" t="s">
        <v>49</v>
      </c>
      <c r="F10" s="12"/>
    </row>
    <row r="11" spans="1:11" x14ac:dyDescent="0.2">
      <c r="B11" s="9" t="s">
        <v>50</v>
      </c>
    </row>
    <row r="12" spans="1:11" x14ac:dyDescent="0.2">
      <c r="B12" s="9" t="s">
        <v>51</v>
      </c>
    </row>
    <row r="13" spans="1:11" x14ac:dyDescent="0.2">
      <c r="B13" s="9" t="s">
        <v>52</v>
      </c>
    </row>
    <row r="14" spans="1:11" x14ac:dyDescent="0.2">
      <c r="B14" s="9" t="s">
        <v>53</v>
      </c>
    </row>
    <row r="15" spans="1:11" x14ac:dyDescent="0.2">
      <c r="B15" s="9" t="s">
        <v>54</v>
      </c>
    </row>
    <row r="16" spans="1:11" x14ac:dyDescent="0.2">
      <c r="B16" s="9" t="s">
        <v>55</v>
      </c>
    </row>
    <row r="17" spans="1:8" x14ac:dyDescent="0.2">
      <c r="B17" s="9" t="s">
        <v>56</v>
      </c>
    </row>
    <row r="18" spans="1:8" x14ac:dyDescent="0.2">
      <c r="B18" s="9" t="s">
        <v>24</v>
      </c>
      <c r="H18" s="9">
        <f>SUBTOTAL(103,Table2[Htotal])</f>
        <v>0</v>
      </c>
    </row>
    <row r="20" spans="1:8" x14ac:dyDescent="0.2">
      <c r="A20" s="11" t="s">
        <v>57</v>
      </c>
    </row>
    <row r="22" spans="1:8" x14ac:dyDescent="0.2">
      <c r="B22" s="9" t="s">
        <v>42</v>
      </c>
      <c r="C22" s="9" t="s">
        <v>43</v>
      </c>
      <c r="D22" s="9" t="s">
        <v>44</v>
      </c>
      <c r="E22" s="9" t="s">
        <v>45</v>
      </c>
      <c r="F22" s="9" t="s">
        <v>46</v>
      </c>
      <c r="G22" s="9" t="s">
        <v>47</v>
      </c>
      <c r="H22" s="9" t="s">
        <v>48</v>
      </c>
    </row>
    <row r="23" spans="1:8" x14ac:dyDescent="0.2">
      <c r="B23" s="9" t="s">
        <v>49</v>
      </c>
    </row>
    <row r="24" spans="1:8" x14ac:dyDescent="0.2">
      <c r="B24" s="9" t="s">
        <v>50</v>
      </c>
    </row>
    <row r="25" spans="1:8" x14ac:dyDescent="0.2">
      <c r="B25" s="9" t="s">
        <v>51</v>
      </c>
    </row>
    <row r="26" spans="1:8" x14ac:dyDescent="0.2">
      <c r="B26" s="9" t="s">
        <v>52</v>
      </c>
    </row>
    <row r="27" spans="1:8" x14ac:dyDescent="0.2">
      <c r="B27" s="9" t="s">
        <v>53</v>
      </c>
    </row>
    <row r="28" spans="1:8" x14ac:dyDescent="0.2">
      <c r="B28" s="9" t="s">
        <v>54</v>
      </c>
    </row>
    <row r="29" spans="1:8" x14ac:dyDescent="0.2">
      <c r="B29" s="9" t="s">
        <v>55</v>
      </c>
    </row>
    <row r="30" spans="1:8" x14ac:dyDescent="0.2">
      <c r="B30" s="9" t="s">
        <v>56</v>
      </c>
    </row>
    <row r="31" spans="1:8" x14ac:dyDescent="0.2">
      <c r="B31" s="9" t="s">
        <v>24</v>
      </c>
      <c r="H31" s="9">
        <f>SUBTOTAL(103,Table311[Htotal])</f>
        <v>0</v>
      </c>
    </row>
    <row r="33" spans="1:8" x14ac:dyDescent="0.2">
      <c r="A33" s="11" t="s">
        <v>58</v>
      </c>
    </row>
    <row r="35" spans="1:8" x14ac:dyDescent="0.2">
      <c r="B35" s="13" t="s">
        <v>42</v>
      </c>
      <c r="C35" s="14" t="s">
        <v>43</v>
      </c>
      <c r="D35" s="14" t="s">
        <v>44</v>
      </c>
      <c r="E35" s="14" t="s">
        <v>45</v>
      </c>
      <c r="F35" s="14" t="s">
        <v>46</v>
      </c>
      <c r="G35" s="14" t="s">
        <v>47</v>
      </c>
      <c r="H35" s="15" t="s">
        <v>48</v>
      </c>
    </row>
    <row r="36" spans="1:8" x14ac:dyDescent="0.2">
      <c r="B36" s="16" t="s">
        <v>49</v>
      </c>
      <c r="C36" s="17"/>
      <c r="D36" s="17"/>
      <c r="E36" s="17"/>
      <c r="F36" s="17"/>
      <c r="G36" s="17"/>
      <c r="H36" s="18"/>
    </row>
    <row r="37" spans="1:8" x14ac:dyDescent="0.2">
      <c r="B37" s="16" t="s">
        <v>50</v>
      </c>
      <c r="C37" s="17"/>
      <c r="D37" s="17"/>
      <c r="E37" s="17"/>
      <c r="F37" s="17"/>
      <c r="G37" s="17"/>
      <c r="H37" s="18"/>
    </row>
    <row r="38" spans="1:8" x14ac:dyDescent="0.2">
      <c r="B38" s="16" t="s">
        <v>51</v>
      </c>
      <c r="C38" s="17"/>
      <c r="D38" s="17"/>
      <c r="E38" s="17"/>
      <c r="F38" s="17"/>
      <c r="G38" s="17"/>
      <c r="H38" s="18"/>
    </row>
    <row r="39" spans="1:8" x14ac:dyDescent="0.2">
      <c r="B39" s="16" t="s">
        <v>52</v>
      </c>
      <c r="C39" s="17"/>
      <c r="D39" s="17"/>
      <c r="E39" s="17"/>
      <c r="F39" s="17"/>
      <c r="G39" s="17"/>
      <c r="H39" s="18"/>
    </row>
    <row r="40" spans="1:8" x14ac:dyDescent="0.2">
      <c r="B40" s="16" t="s">
        <v>53</v>
      </c>
      <c r="C40" s="17"/>
      <c r="D40" s="17"/>
      <c r="E40" s="17"/>
      <c r="F40" s="17"/>
      <c r="G40" s="17"/>
      <c r="H40" s="18"/>
    </row>
    <row r="41" spans="1:8" x14ac:dyDescent="0.2">
      <c r="B41" s="16" t="s">
        <v>54</v>
      </c>
      <c r="C41" s="17"/>
      <c r="D41" s="17"/>
      <c r="E41" s="17"/>
      <c r="F41" s="17"/>
      <c r="G41" s="17"/>
      <c r="H41" s="18"/>
    </row>
    <row r="42" spans="1:8" x14ac:dyDescent="0.2">
      <c r="B42" s="16" t="s">
        <v>55</v>
      </c>
      <c r="C42" s="17"/>
      <c r="D42" s="17"/>
      <c r="E42" s="17"/>
      <c r="F42" s="17"/>
      <c r="G42" s="17"/>
      <c r="H42" s="18"/>
    </row>
    <row r="43" spans="1:8" x14ac:dyDescent="0.2">
      <c r="B43" s="16" t="s">
        <v>56</v>
      </c>
      <c r="C43" s="19"/>
      <c r="D43" s="19"/>
      <c r="E43" s="19"/>
      <c r="F43" s="19"/>
      <c r="G43" s="19"/>
      <c r="H43" s="20"/>
    </row>
    <row r="44" spans="1:8" x14ac:dyDescent="0.2">
      <c r="B44" s="21" t="s">
        <v>24</v>
      </c>
      <c r="C44" s="19"/>
      <c r="D44" s="19"/>
      <c r="E44" s="19"/>
      <c r="F44" s="19"/>
      <c r="G44" s="19"/>
      <c r="H44" s="20">
        <f>SUBTOTAL(103,Table412[Htotal])</f>
        <v>0</v>
      </c>
    </row>
    <row r="45" spans="1:8" x14ac:dyDescent="0.2">
      <c r="A45" s="11" t="s">
        <v>59</v>
      </c>
    </row>
    <row r="47" spans="1:8" x14ac:dyDescent="0.2">
      <c r="B47" s="13" t="s">
        <v>42</v>
      </c>
      <c r="C47" s="14" t="s">
        <v>43</v>
      </c>
      <c r="D47" s="14" t="s">
        <v>44</v>
      </c>
      <c r="E47" s="14" t="s">
        <v>45</v>
      </c>
      <c r="F47" s="14" t="s">
        <v>46</v>
      </c>
      <c r="G47" s="14" t="s">
        <v>47</v>
      </c>
      <c r="H47" s="15" t="s">
        <v>48</v>
      </c>
    </row>
    <row r="48" spans="1:8" x14ac:dyDescent="0.2">
      <c r="B48" s="16" t="s">
        <v>49</v>
      </c>
      <c r="C48" s="17"/>
      <c r="D48" s="17"/>
      <c r="E48" s="17"/>
      <c r="F48" s="17"/>
      <c r="G48" s="17"/>
      <c r="H48" s="18"/>
    </row>
    <row r="49" spans="1:8" x14ac:dyDescent="0.2">
      <c r="B49" s="16" t="s">
        <v>50</v>
      </c>
      <c r="C49" s="17"/>
      <c r="D49" s="17"/>
      <c r="E49" s="17"/>
      <c r="F49" s="17"/>
      <c r="G49" s="17"/>
      <c r="H49" s="18"/>
    </row>
    <row r="50" spans="1:8" x14ac:dyDescent="0.2">
      <c r="B50" s="16" t="s">
        <v>51</v>
      </c>
      <c r="C50" s="17"/>
      <c r="D50" s="17"/>
      <c r="E50" s="17"/>
      <c r="F50" s="17"/>
      <c r="G50" s="17"/>
      <c r="H50" s="18"/>
    </row>
    <row r="51" spans="1:8" x14ac:dyDescent="0.2">
      <c r="B51" s="16" t="s">
        <v>52</v>
      </c>
      <c r="C51" s="17"/>
      <c r="D51" s="17"/>
      <c r="E51" s="17"/>
      <c r="F51" s="17"/>
      <c r="G51" s="17"/>
      <c r="H51" s="18"/>
    </row>
    <row r="52" spans="1:8" x14ac:dyDescent="0.2">
      <c r="B52" s="16" t="s">
        <v>53</v>
      </c>
      <c r="C52" s="17"/>
      <c r="D52" s="17"/>
      <c r="E52" s="17"/>
      <c r="F52" s="17"/>
      <c r="G52" s="17"/>
      <c r="H52" s="18"/>
    </row>
    <row r="53" spans="1:8" x14ac:dyDescent="0.2">
      <c r="B53" s="16" t="s">
        <v>54</v>
      </c>
      <c r="C53" s="17"/>
      <c r="D53" s="17"/>
      <c r="E53" s="17"/>
      <c r="F53" s="17"/>
      <c r="G53" s="17"/>
      <c r="H53" s="18"/>
    </row>
    <row r="54" spans="1:8" x14ac:dyDescent="0.2">
      <c r="B54" s="16" t="s">
        <v>55</v>
      </c>
      <c r="C54" s="17"/>
      <c r="D54" s="17"/>
      <c r="E54" s="17"/>
      <c r="F54" s="17"/>
      <c r="G54" s="17"/>
      <c r="H54" s="18"/>
    </row>
    <row r="55" spans="1:8" x14ac:dyDescent="0.2">
      <c r="B55" s="16" t="s">
        <v>56</v>
      </c>
      <c r="C55" s="19"/>
      <c r="D55" s="19"/>
      <c r="E55" s="19"/>
      <c r="F55" s="19"/>
      <c r="G55" s="19"/>
      <c r="H55" s="20"/>
    </row>
    <row r="56" spans="1:8" x14ac:dyDescent="0.2">
      <c r="B56" s="21" t="s">
        <v>24</v>
      </c>
      <c r="C56" s="19"/>
      <c r="D56" s="19"/>
      <c r="E56" s="19"/>
      <c r="F56" s="19"/>
      <c r="G56" s="19"/>
      <c r="H56" s="20">
        <f>SUBTOTAL(103,Table46[Htotal])</f>
        <v>0</v>
      </c>
    </row>
    <row r="58" spans="1:8" ht="18.75" x14ac:dyDescent="0.2">
      <c r="A58" s="22" t="s">
        <v>60</v>
      </c>
    </row>
    <row r="60" spans="1:8" x14ac:dyDescent="0.2">
      <c r="C60" s="23" t="s">
        <v>61</v>
      </c>
      <c r="D60" s="24" t="s">
        <v>43</v>
      </c>
      <c r="E60" s="24" t="s">
        <v>44</v>
      </c>
      <c r="F60" s="24" t="s">
        <v>45</v>
      </c>
      <c r="G60" s="24" t="s">
        <v>46</v>
      </c>
    </row>
    <row r="61" spans="1:8" x14ac:dyDescent="0.2">
      <c r="C61" s="25" t="s">
        <v>62</v>
      </c>
      <c r="D61" s="26" t="s">
        <v>63</v>
      </c>
      <c r="E61" s="27" t="s">
        <v>64</v>
      </c>
      <c r="F61" s="28" t="s">
        <v>65</v>
      </c>
      <c r="G61" s="29" t="s">
        <v>66</v>
      </c>
    </row>
    <row r="62" spans="1:8" x14ac:dyDescent="0.2">
      <c r="C62" s="30"/>
      <c r="D62" s="26"/>
      <c r="E62" s="27"/>
      <c r="F62" s="28"/>
      <c r="G62" s="29"/>
    </row>
    <row r="63" spans="1:8" x14ac:dyDescent="0.2">
      <c r="C63" s="30"/>
      <c r="D63" s="26"/>
      <c r="E63" s="27"/>
      <c r="F63" s="28"/>
      <c r="G63" s="29"/>
    </row>
    <row r="64" spans="1:8" x14ac:dyDescent="0.2">
      <c r="C64" s="30"/>
      <c r="D64" s="26"/>
      <c r="E64" s="27"/>
      <c r="F64" s="28"/>
      <c r="G64" s="29"/>
    </row>
    <row r="65" spans="3:7" x14ac:dyDescent="0.2">
      <c r="C65" s="30"/>
      <c r="D65" s="26"/>
      <c r="E65" s="27"/>
      <c r="F65" s="28"/>
      <c r="G65" s="29"/>
    </row>
    <row r="66" spans="3:7" x14ac:dyDescent="0.2">
      <c r="C66" s="30"/>
      <c r="D66" s="26"/>
      <c r="E66" s="27"/>
      <c r="F66" s="28"/>
      <c r="G66" s="29"/>
    </row>
    <row r="67" spans="3:7" x14ac:dyDescent="0.2">
      <c r="C67" s="30"/>
      <c r="D67" s="26"/>
      <c r="E67" s="27"/>
      <c r="F67" s="28"/>
      <c r="G67" s="29"/>
    </row>
    <row r="68" spans="3:7" x14ac:dyDescent="0.2">
      <c r="C68" s="30"/>
      <c r="D68" s="26"/>
      <c r="E68" s="27"/>
      <c r="F68" s="28"/>
      <c r="G68" s="29"/>
    </row>
    <row r="69" spans="3:7" x14ac:dyDescent="0.2">
      <c r="C69" s="30"/>
      <c r="D69" s="26"/>
      <c r="E69" s="27"/>
      <c r="F69" s="28"/>
      <c r="G69" s="29"/>
    </row>
    <row r="70" spans="3:7" x14ac:dyDescent="0.2">
      <c r="C70" s="31"/>
      <c r="D70" s="26"/>
      <c r="E70" s="27"/>
      <c r="F70" s="32"/>
      <c r="G70" s="29"/>
    </row>
  </sheetData>
  <mergeCells count="2">
    <mergeCell ref="A1:K1"/>
    <mergeCell ref="A3:K3"/>
  </mergeCells>
  <pageMargins left="0.19791666666666666" right="0.19791666666666666" top="0.98958333333333337" bottom="0.78740157480314965" header="0" footer="0.19685039370078741"/>
  <pageSetup paperSize="9" scale="95" orientation="portrait" r:id="rId1"/>
  <headerFooter>
    <oddHeader xml:space="preserve">&amp;L&amp;8&amp;G&amp;R&amp;8&amp;K7030A0Type/Client:&amp;K000000 itrust consulting s.à r.l.&amp;K7030A0
 Project/Domain: &amp;K000000Name  &amp;K7030A0
 Title: &amp;K000000Title &amp;K7030A0
 Classification:&amp;K000000 Internal </oddHeader>
    <oddFooter>&amp;L&amp;8&amp;F&amp;C&amp;8&amp;D - &amp;T&amp;R&amp;8&amp;A - &amp;P/&amp;N</oddFooter>
  </headerFooter>
  <drawing r:id="rId2"/>
  <legacyDrawingHF r:id="rId3"/>
  <tableParts count="5"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Hist</vt:lpstr>
      <vt:lpstr>Structure</vt:lpstr>
      <vt:lpstr>Table examples</vt:lpstr>
      <vt:lpstr>Example</vt:lpstr>
      <vt:lpstr>Example!Print_Area</vt:lpstr>
      <vt:lpstr>'Table examples'!Print_Area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GRA</cp:lastModifiedBy>
  <cp:lastPrinted>2018-05-23T12:19:04Z</cp:lastPrinted>
  <dcterms:created xsi:type="dcterms:W3CDTF">2008-06-07T09:53:51Z</dcterms:created>
  <dcterms:modified xsi:type="dcterms:W3CDTF">2018-05-23T12:23:55Z</dcterms:modified>
</cp:coreProperties>
</file>