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/>
  <workbookPr codeName="ThisWorkbook"/>
  <mc:AlternateContent xmlns:mc="http://schemas.openxmlformats.org/markup-compatibility/2006">
    <mc:Choice Requires="x15">
      <x15ac:absPath xmlns:x15ac="http://schemas.microsoft.com/office/spreadsheetml/2010/11/ac" url="D:\itrust\MG\ISMS\STA-PLA\I100 ISMS\"/>
    </mc:Choice>
  </mc:AlternateContent>
  <xr:revisionPtr revIDLastSave="0" documentId="13_ncr:1_{672D68AF-2E1E-442C-8935-CD1C08EB996B}" xr6:coauthVersionLast="40" xr6:coauthVersionMax="40" xr10:uidLastSave="{00000000-0000-0000-0000-000000000000}"/>
  <bookViews>
    <workbookView xWindow="11280" yWindow="0" windowWidth="18930" windowHeight="7320" tabRatio="733" xr2:uid="{00000000-000D-0000-FFFF-FFFF00000000}"/>
  </bookViews>
  <sheets>
    <sheet name="Hist" sheetId="3" r:id="rId1"/>
    <sheet name="Structure" sheetId="17" r:id="rId2"/>
    <sheet name="Table examples" sheetId="34" r:id="rId3"/>
    <sheet name="Pivot table example" sheetId="36" r:id="rId4"/>
    <sheet name="Example" sheetId="26" state="hidden" r:id="rId5"/>
  </sheets>
  <definedNames>
    <definedName name="_xlcn.WorksheetConnection_STA_I173_ITRXlsTempl_v1.1.1cha.xlsmTable31" hidden="1">Table3[]</definedName>
    <definedName name="Alex" localSheetId="2">#REF!</definedName>
    <definedName name="Alex">#REF!</definedName>
    <definedName name="_xlnm.Print_Area" localSheetId="4">Example!$A$1:$K$71</definedName>
    <definedName name="_xlnm.Print_Area" localSheetId="2">'Table examples'!$A$1:$E$30</definedName>
  </definedNames>
  <calcPr calcId="191029"/>
  <pivotCaches>
    <pivotCache cacheId="164" r:id="rId6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0" i="34" l="1"/>
  <c r="E22" i="34"/>
  <c r="E14" i="34"/>
  <c r="E7" i="34"/>
  <c r="H56" i="26"/>
  <c r="H44" i="26"/>
  <c r="H31" i="26"/>
  <c r="H18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1"/>
        </x15:connection>
      </ext>
    </extLst>
  </connection>
</connections>
</file>

<file path=xl/sharedStrings.xml><?xml version="1.0" encoding="utf-8"?>
<sst xmlns="http://schemas.openxmlformats.org/spreadsheetml/2006/main" count="205" uniqueCount="102">
  <si>
    <t>Version</t>
  </si>
  <si>
    <t>Classification</t>
  </si>
  <si>
    <t>Date</t>
  </si>
  <si>
    <t>Signature</t>
  </si>
  <si>
    <t>itrust consulting</t>
  </si>
  <si>
    <t>Author</t>
  </si>
  <si>
    <t>Role</t>
  </si>
  <si>
    <t>Name</t>
  </si>
  <si>
    <t>Responsability</t>
  </si>
  <si>
    <t>Owner</t>
  </si>
  <si>
    <t>Status</t>
  </si>
  <si>
    <t>C. Harpes</t>
  </si>
  <si>
    <t>Recipient</t>
  </si>
  <si>
    <t>Channel</t>
  </si>
  <si>
    <t>Content agreement</t>
  </si>
  <si>
    <t>Applicability</t>
  </si>
  <si>
    <t>Change management</t>
  </si>
  <si>
    <t>Information Security Management System (ISMS)</t>
  </si>
  <si>
    <t>Organisation</t>
  </si>
  <si>
    <t>1.0</t>
  </si>
  <si>
    <t>Contents</t>
  </si>
  <si>
    <t>Comments</t>
  </si>
  <si>
    <t>General information</t>
  </si>
  <si>
    <t>Final</t>
  </si>
  <si>
    <t>Total</t>
  </si>
  <si>
    <t>Sequence number</t>
  </si>
  <si>
    <t>Working group</t>
  </si>
  <si>
    <t>Name(s)</t>
  </si>
  <si>
    <t>Distribution list</t>
  </si>
  <si>
    <t>Intranet</t>
  </si>
  <si>
    <t>CISO</t>
  </si>
  <si>
    <t>Managing Director</t>
  </si>
  <si>
    <t>Document history</t>
  </si>
  <si>
    <t>ISMS team members</t>
  </si>
  <si>
    <t>Tab name</t>
  </si>
  <si>
    <t>See printed version managed by the CISO.</t>
  </si>
  <si>
    <t>Approval</t>
  </si>
  <si>
    <t>Summary of itrust Style (Heading 1)</t>
  </si>
  <si>
    <t>SubTitle (Heading 2)</t>
  </si>
  <si>
    <t>List of Table Style (Heading 3)</t>
  </si>
  <si>
    <t>Table_itrust1 : Clear (Heading 4)</t>
  </si>
  <si>
    <t>C1/H1</t>
  </si>
  <si>
    <t>H2</t>
  </si>
  <si>
    <t>H3</t>
  </si>
  <si>
    <t>H4</t>
  </si>
  <si>
    <t>H5</t>
  </si>
  <si>
    <t>H6</t>
  </si>
  <si>
    <t>Htotal</t>
  </si>
  <si>
    <t>C2</t>
  </si>
  <si>
    <t>C3</t>
  </si>
  <si>
    <t>C4</t>
  </si>
  <si>
    <t>C5</t>
  </si>
  <si>
    <t>C6</t>
  </si>
  <si>
    <t>C7</t>
  </si>
  <si>
    <t>C8</t>
  </si>
  <si>
    <t>C9</t>
  </si>
  <si>
    <t>Table_itrust2 Mix Clear/Medium</t>
  </si>
  <si>
    <t>Table_itrust3: Medium</t>
  </si>
  <si>
    <t>Table_itrust4: Mix Medium/Dark</t>
  </si>
  <si>
    <t>List of Specific Cell style</t>
  </si>
  <si>
    <t>H1</t>
  </si>
  <si>
    <t>Normal</t>
  </si>
  <si>
    <t>Input</t>
  </si>
  <si>
    <t>Calculation</t>
  </si>
  <si>
    <t>Explanary</t>
  </si>
  <si>
    <t>Note</t>
  </si>
  <si>
    <t>Internal</t>
  </si>
  <si>
    <t>Date of application</t>
  </si>
  <si>
    <t>Column1</t>
  </si>
  <si>
    <t>Column2</t>
  </si>
  <si>
    <t>Column3</t>
  </si>
  <si>
    <t>Column4</t>
  </si>
  <si>
    <t>Column5</t>
  </si>
  <si>
    <t>This tab explains the content of all tabl in this worksheet.</t>
  </si>
  <si>
    <t>Excel template (ITR-XlsTempl)</t>
  </si>
  <si>
    <t>I173</t>
  </si>
  <si>
    <t>Document creation as extract form ITR-AssetInventory v2.9</t>
  </si>
  <si>
    <t>1.1</t>
  </si>
  <si>
    <t>Rename tables styles without itrust and refer to theme colors</t>
  </si>
  <si>
    <t>Style: Table_1</t>
  </si>
  <si>
    <t>Style: Table_2</t>
  </si>
  <si>
    <t>Style: Table_3</t>
  </si>
  <si>
    <t>Style: Table_4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</si>
  <si>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</si>
  <si>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</si>
  <si>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</si>
  <si>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</si>
  <si>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</si>
  <si>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</si>
  <si>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</si>
  <si>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</si>
  <si>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</si>
  <si>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</si>
  <si>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</si>
  <si>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</si>
  <si>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</si>
  <si>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rrrr</t>
  </si>
  <si>
    <t>Sum of rrrr</t>
  </si>
  <si>
    <t>Count of Comments</t>
  </si>
  <si>
    <t>1.2</t>
  </si>
  <si>
    <t>I. Senft</t>
  </si>
  <si>
    <t>Delete itrust table styles or rename to Table_*
Add Pivot Table Style and changed Theme
Review 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</si>
</sst>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8"/>
      <color theme="1"/>
      <name val="Corbel"/>
      <family val="2"/>
      <scheme val="minor"/>
    </font>
    <font>
      <sz val="10"/>
      <color theme="1"/>
      <name val="Corbel"/>
      <family val="2"/>
    </font>
    <font>
      <sz val="9"/>
      <color theme="1"/>
      <name val="Corbel"/>
      <family val="2"/>
    </font>
    <font>
      <sz val="11"/>
      <color theme="1"/>
      <name val="Corbel"/>
      <family val="2"/>
    </font>
    <font>
      <b/>
      <sz val="11"/>
      <color theme="1"/>
      <name val="Corbel"/>
      <family val="2"/>
    </font>
    <font>
      <b/>
      <sz val="10"/>
      <color indexed="8"/>
      <name val="Corbel"/>
      <family val="2"/>
    </font>
    <font>
      <sz val="11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b/>
      <sz val="14"/>
      <color rgb="FF7030A0"/>
      <name val="Corbel"/>
      <family val="2"/>
    </font>
    <font>
      <sz val="10"/>
      <color indexed="8"/>
      <name val="Corbel"/>
      <family val="2"/>
    </font>
    <font>
      <sz val="18"/>
      <color theme="3"/>
      <name val="Corbel"/>
      <family val="2"/>
      <scheme val="major"/>
    </font>
    <font>
      <b/>
      <sz val="9"/>
      <color theme="1"/>
      <name val="Corbel"/>
      <family val="2"/>
    </font>
    <font>
      <b/>
      <sz val="20"/>
      <name val="Corbel"/>
      <family val="2"/>
      <scheme val="major"/>
    </font>
    <font>
      <b/>
      <sz val="16"/>
      <name val="Corbel"/>
      <family val="2"/>
      <scheme val="major"/>
    </font>
    <font>
      <b/>
      <sz val="12"/>
      <name val="Corbel"/>
      <family val="2"/>
      <scheme val="major"/>
    </font>
    <font>
      <b/>
      <sz val="11"/>
      <name val="Corbel"/>
      <family val="2"/>
      <scheme val="major"/>
    </font>
    <font>
      <sz val="10"/>
      <color theme="1"/>
      <name val="Corbel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">
    <xf numFmtId="0" fontId="0" fillId="0" borderId="0"/>
    <xf numFmtId="0" fontId="14" fillId="5" borderId="1" applyNumberFormat="0" applyProtection="0">
      <alignment horizontal="center" vertical="center"/>
    </xf>
    <xf numFmtId="0" fontId="15" fillId="6" borderId="1" applyNumberFormat="0" applyProtection="0">
      <alignment horizontal="center" vertical="center"/>
    </xf>
    <xf numFmtId="0" fontId="16" fillId="7" borderId="1" applyNumberFormat="0" applyProtection="0">
      <alignment horizontal="left" vertical="center" indent="1"/>
    </xf>
    <xf numFmtId="0" fontId="17" fillId="8" borderId="13" applyNumberFormat="0" applyProtection="0">
      <alignment horizontal="left" vertical="center" indent="1"/>
    </xf>
    <xf numFmtId="0" fontId="18" fillId="0" borderId="0" applyFill="0" applyBorder="0" applyProtection="0">
      <alignment horizontal="left" vertical="top" wrapText="1" indent="1"/>
    </xf>
    <xf numFmtId="0" fontId="12" fillId="0" borderId="0" applyNumberFormat="0" applyFill="0" applyBorder="0" applyAlignment="0" applyProtection="0"/>
    <xf numFmtId="0" fontId="13" fillId="0" borderId="14" applyNumberFormat="0" applyFill="0" applyAlignment="0" applyProtection="0"/>
  </cellStyleXfs>
  <cellXfs count="91">
    <xf numFmtId="0" fontId="0" fillId="0" borderId="0" xfId="0"/>
    <xf numFmtId="14" fontId="6" fillId="0" borderId="2" xfId="0" applyNumberFormat="1" applyFont="1" applyBorder="1" applyAlignment="1">
      <alignment horizontal="left" vertical="center" indent="1"/>
    </xf>
    <xf numFmtId="0" fontId="3" fillId="0" borderId="0" xfId="0" applyFont="1" applyAlignment="1">
      <alignment vertical="center"/>
    </xf>
    <xf numFmtId="0" fontId="8" fillId="0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3" fillId="0" borderId="2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 wrapText="1" indent="1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4" fillId="0" borderId="10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4" fillId="0" borderId="6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3" fillId="0" borderId="12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15" fillId="6" borderId="1" xfId="2" applyAlignment="1">
      <alignment vertical="center"/>
    </xf>
    <xf numFmtId="0" fontId="17" fillId="8" borderId="13" xfId="4" applyAlignment="1">
      <alignment horizontal="center" vertical="center"/>
    </xf>
    <xf numFmtId="0" fontId="18" fillId="0" borderId="0" xfId="5">
      <alignment horizontal="left" vertical="top" wrapText="1" indent="1"/>
    </xf>
    <xf numFmtId="0" fontId="1" fillId="0" borderId="0" xfId="5" applyFont="1">
      <alignment horizontal="left" vertical="top" wrapText="1" indent="1"/>
    </xf>
    <xf numFmtId="0" fontId="0" fillId="0" borderId="0" xfId="0"/>
    <xf numFmtId="0" fontId="18" fillId="0" borderId="2" xfId="5" applyBorder="1">
      <alignment horizontal="left" vertical="top" wrapText="1" indent="1"/>
    </xf>
    <xf numFmtId="0" fontId="18" fillId="0" borderId="1" xfId="5" applyFill="1" applyBorder="1">
      <alignment horizontal="left" vertical="top" wrapText="1" indent="1"/>
    </xf>
    <xf numFmtId="0" fontId="18" fillId="0" borderId="2" xfId="5" applyBorder="1">
      <alignment horizontal="left" vertical="top" wrapText="1" indent="1"/>
    </xf>
    <xf numFmtId="0" fontId="18" fillId="0" borderId="1" xfId="5" applyBorder="1">
      <alignment horizontal="left" vertical="top" wrapText="1" indent="1"/>
    </xf>
    <xf numFmtId="14" fontId="11" fillId="0" borderId="2" xfId="0" applyNumberFormat="1" applyFont="1" applyBorder="1" applyAlignment="1">
      <alignment horizontal="left" vertical="center" indent="1"/>
    </xf>
    <xf numFmtId="0" fontId="1" fillId="0" borderId="1" xfId="5" applyFont="1" applyBorder="1">
      <alignment horizontal="left" vertical="top" wrapText="1" indent="1"/>
    </xf>
    <xf numFmtId="0" fontId="16" fillId="0" borderId="1" xfId="3" applyFill="1" applyAlignment="1">
      <alignment horizontal="center" vertical="center"/>
    </xf>
    <xf numFmtId="0" fontId="18" fillId="0" borderId="2" xfId="5" applyBorder="1">
      <alignment horizontal="left" vertical="top" wrapText="1" indent="1"/>
    </xf>
    <xf numFmtId="0" fontId="18" fillId="0" borderId="2" xfId="5" applyBorder="1">
      <alignment horizontal="left" vertical="top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8" fillId="0" borderId="2" xfId="5" applyBorder="1">
      <alignment horizontal="left" vertical="top" wrapText="1" indent="1"/>
    </xf>
    <xf numFmtId="0" fontId="14" fillId="5" borderId="1" xfId="1">
      <alignment horizontal="center" vertical="center"/>
    </xf>
    <xf numFmtId="0" fontId="15" fillId="6" borderId="1" xfId="2">
      <alignment horizontal="center" vertical="center"/>
    </xf>
    <xf numFmtId="0" fontId="3" fillId="0" borderId="0" xfId="0" applyFont="1" applyAlignment="1">
      <alignment horizontal="center" vertical="center"/>
    </xf>
    <xf numFmtId="0" fontId="16" fillId="7" borderId="1" xfId="3">
      <alignment horizontal="left" vertical="center" indent="1"/>
    </xf>
    <xf numFmtId="0" fontId="17" fillId="8" borderId="13" xfId="4" applyBorder="1" applyAlignment="1">
      <alignment horizontal="left" vertical="center" indent="1"/>
    </xf>
    <xf numFmtId="0" fontId="1" fillId="0" borderId="0" xfId="5" applyFont="1" applyBorder="1">
      <alignment horizontal="left" vertical="top" wrapText="1" indent="1"/>
    </xf>
    <xf numFmtId="0" fontId="18" fillId="0" borderId="0" xfId="5" applyBorder="1">
      <alignment horizontal="left" vertical="top" wrapText="1" indent="1"/>
    </xf>
    <xf numFmtId="0" fontId="18" fillId="0" borderId="11" xfId="5" applyBorder="1">
      <alignment horizontal="left" vertical="top" wrapText="1" indent="1"/>
    </xf>
    <xf numFmtId="14" fontId="18" fillId="0" borderId="0" xfId="5" applyNumberFormat="1" applyBorder="1">
      <alignment horizontal="left" vertical="top" wrapText="1" indent="1"/>
    </xf>
    <xf numFmtId="14" fontId="18" fillId="0" borderId="11" xfId="5" applyNumberFormat="1" applyBorder="1">
      <alignment horizontal="left" vertical="top" wrapText="1" indent="1"/>
    </xf>
    <xf numFmtId="0" fontId="17" fillId="8" borderId="5" xfId="4" applyBorder="1" applyAlignment="1">
      <alignment horizontal="left" vertical="center" indent="1"/>
    </xf>
    <xf numFmtId="0" fontId="1" fillId="0" borderId="9" xfId="5" applyFont="1" applyBorder="1">
      <alignment horizontal="left" vertical="top" wrapText="1" indent="1"/>
    </xf>
    <xf numFmtId="0" fontId="18" fillId="0" borderId="9" xfId="5" applyBorder="1">
      <alignment horizontal="left" vertical="top" wrapText="1" indent="1"/>
    </xf>
    <xf numFmtId="0" fontId="18" fillId="0" borderId="10" xfId="5" applyBorder="1">
      <alignment horizontal="left" vertical="top" wrapText="1" indent="1"/>
    </xf>
    <xf numFmtId="0" fontId="17" fillId="8" borderId="13" xfId="4" applyAlignment="1">
      <alignment horizontal="center" vertical="center"/>
    </xf>
    <xf numFmtId="0" fontId="18" fillId="0" borderId="1" xfId="5" applyBorder="1">
      <alignment horizontal="left" vertical="top" wrapText="1" indent="1"/>
    </xf>
    <xf numFmtId="0" fontId="5" fillId="0" borderId="0" xfId="0" applyFont="1" applyBorder="1" applyAlignment="1">
      <alignment horizontal="left" vertical="center"/>
    </xf>
    <xf numFmtId="0" fontId="16" fillId="7" borderId="1" xfId="3" applyAlignment="1">
      <alignment horizontal="center" vertical="center"/>
    </xf>
    <xf numFmtId="0" fontId="18" fillId="0" borderId="2" xfId="5" applyFill="1" applyBorder="1">
      <alignment horizontal="left" vertical="top" wrapText="1" indent="1"/>
    </xf>
    <xf numFmtId="0" fontId="18" fillId="0" borderId="3" xfId="5" applyFill="1" applyBorder="1">
      <alignment horizontal="left" vertical="top" wrapText="1" indent="1"/>
    </xf>
    <xf numFmtId="0" fontId="18" fillId="0" borderId="4" xfId="5" applyFill="1" applyBorder="1">
      <alignment horizontal="left" vertical="top" wrapText="1" indent="1"/>
    </xf>
    <xf numFmtId="0" fontId="3" fillId="0" borderId="0" xfId="0" applyFont="1" applyBorder="1" applyAlignment="1">
      <alignment horizontal="left" vertical="center"/>
    </xf>
    <xf numFmtId="0" fontId="1" fillId="0" borderId="2" xfId="5" applyFont="1" applyBorder="1">
      <alignment horizontal="left" vertical="top" wrapText="1" indent="1"/>
    </xf>
    <xf numFmtId="0" fontId="18" fillId="0" borderId="3" xfId="5" applyBorder="1">
      <alignment horizontal="left" vertical="top" wrapText="1" indent="1"/>
    </xf>
    <xf numFmtId="0" fontId="18" fillId="0" borderId="4" xfId="5" applyBorder="1">
      <alignment horizontal="left" vertical="top" wrapText="1" indent="1"/>
    </xf>
    <xf numFmtId="0" fontId="17" fillId="8" borderId="2" xfId="4" applyBorder="1" applyAlignment="1">
      <alignment horizontal="center" vertical="center"/>
    </xf>
    <xf numFmtId="0" fontId="17" fillId="8" borderId="3" xfId="4" applyBorder="1" applyAlignment="1">
      <alignment horizontal="center" vertical="center"/>
    </xf>
    <xf numFmtId="0" fontId="17" fillId="8" borderId="4" xfId="4" applyBorder="1" applyAlignment="1">
      <alignment horizontal="center" vertical="center"/>
    </xf>
    <xf numFmtId="0" fontId="18" fillId="0" borderId="2" xfId="5" applyBorder="1">
      <alignment horizontal="left" vertical="top" wrapText="1" indent="1"/>
    </xf>
    <xf numFmtId="0" fontId="18" fillId="0" borderId="1" xfId="5" applyFill="1" applyBorder="1">
      <alignment horizontal="left" vertical="top" wrapText="1" indent="1"/>
    </xf>
    <xf numFmtId="0" fontId="3" fillId="0" borderId="2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center" vertical="center"/>
    </xf>
    <xf numFmtId="0" fontId="14" fillId="9" borderId="1" xfId="1" applyFill="1" applyBorder="1" applyAlignment="1">
      <alignment horizontal="center" vertical="center"/>
    </xf>
    <xf numFmtId="0" fontId="14" fillId="4" borderId="1" xfId="1" applyFill="1" applyBorder="1" applyAlignment="1">
      <alignment horizontal="center" vertical="center"/>
    </xf>
    <xf numFmtId="0" fontId="14" fillId="3" borderId="1" xfId="1" applyFill="1" applyBorder="1" applyAlignment="1">
      <alignment horizontal="center" vertical="center"/>
    </xf>
    <xf numFmtId="0" fontId="14" fillId="5" borderId="1" xfId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2" borderId="1" xfId="2" applyFill="1" applyAlignment="1">
      <alignment horizontal="center" vertical="center"/>
    </xf>
  </cellXfs>
  <cellStyles count="8">
    <cellStyle name="Cell-Normal" xfId="5" xr:uid="{00000000-0005-0000-0000-000000000000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Title" xfId="6" builtinId="15" hidden="1"/>
    <cellStyle name="Total" xfId="7" builtinId="25" hidden="1"/>
  </cellStyles>
  <dxfs count="139"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B4D99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rgb="FFB4D99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rgb="FF69B43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rgb="FF69B43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6" defaultTableStyle="Table_1" defaultPivotStyle="PivotStyleLight16">
    <tableStyle name="PivotTable_1" table="0" count="14" xr9:uid="{D6F9E536-AE99-4E1F-9899-8EE2952B81D7}">
      <tableStyleElement type="headerRow" dxfId="138"/>
      <tableStyleElement type="totalRow" dxfId="137"/>
      <tableStyleElement type="firstColumn" dxfId="136"/>
      <tableStyleElement type="lastColumn" dxfId="135"/>
      <tableStyleElement type="firstSubtotalColumn" dxfId="134"/>
      <tableStyleElement type="secondSubtotalColumn" dxfId="133"/>
      <tableStyleElement type="firstSubtotalRow" dxfId="132"/>
      <tableStyleElement type="secondSubtotalRow" dxfId="131"/>
      <tableStyleElement type="firstColumnSubheading" dxfId="130"/>
      <tableStyleElement type="secondColumnSubheading" dxfId="129"/>
      <tableStyleElement type="firstRowSubheading" dxfId="128"/>
      <tableStyleElement type="secondRowSubheading" dxfId="127"/>
      <tableStyleElement type="thirdRowSubheading" dxfId="126"/>
      <tableStyleElement type="pageFieldLabels" dxfId="125"/>
    </tableStyle>
    <tableStyle name="Table_1" pivot="0" count="7" xr9:uid="{00000000-0011-0000-FFFF-FFFF04000000}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secondRowStripe" dxfId="119"/>
      <tableStyleElement type="firstColumnStripe" dxfId="118"/>
    </tableStyle>
    <tableStyle name="Table_2" pivot="0" count="7" xr9:uid="{00000000-0011-0000-FFFF-FFFF00000000}">
      <tableStyleElement type="wholeTable" dxfId="117"/>
      <tableStyleElement type="headerRow" dxfId="116"/>
      <tableStyleElement type="totalRow" dxfId="115"/>
      <tableStyleElement type="firstColumn" dxfId="114"/>
      <tableStyleElement type="lastColumn" dxfId="113"/>
      <tableStyleElement type="secondRowStripe" dxfId="112"/>
      <tableStyleElement type="firstColumnStripe" dxfId="111"/>
    </tableStyle>
    <tableStyle name="Table_3" pivot="0" count="7" xr9:uid="{00000000-0011-0000-FFFF-FFFF01000000}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secondRowStripe" dxfId="105"/>
      <tableStyleElement type="firstColumnStripe" dxfId="104"/>
    </tableStyle>
    <tableStyle name="Table_4" pivot="0" count="8" xr9:uid="{00000000-0011-0000-FFFF-FFFF02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secondRowStripe" dxfId="98"/>
      <tableStyleElement type="firstColumnStripe" dxfId="97"/>
      <tableStyleElement type="secondColumnStripe" dxfId="96"/>
    </tableStyle>
    <tableStyle name="Table_LM4" pivot="0" count="7" xr9:uid="{00000000-0011-0000-FFFF-FFFF03000000}">
      <tableStyleElement type="wholeTable" dxfId="95"/>
      <tableStyleElement type="headerRow" dxfId="94"/>
      <tableStyleElement type="totalRow" dxfId="93"/>
      <tableStyleElement type="firstColumn" dxfId="92"/>
      <tableStyleElement type="lastColumn" dxfId="91"/>
      <tableStyleElement type="firstRowStripe" dxfId="90"/>
      <tableStyleElement type="firstColumnStripe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130970</xdr:colOff>
      <xdr:row>10</xdr:row>
      <xdr:rowOff>160735</xdr:rowOff>
    </xdr:from>
    <xdr:to>
      <xdr:col>5</xdr:col>
      <xdr:colOff>470298</xdr:colOff>
      <xdr:row>13</xdr:row>
      <xdr:rowOff>148828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B02728-2E2D-44A9-BDF2-4FF07CCFC779}"/>
            </a:ext>
          </a:extLst>
        </xdr:cNvPr>
        <xdr:cNvSpPr txBox="1"/>
      </xdr:nvSpPr>
      <xdr:spPr>
        <a:xfrm>
          <a:off x="3674270" y="2361010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Table_itrust1</a:t>
          </a:r>
        </a:p>
      </xdr:txBody>
    </xdr:sp>
    <xdr:clientData/>
  </xdr:twoCellAnchor>
  <xdr:twoCellAnchor>
    <xdr:from>
      <xdr:col>3</xdr:col>
      <xdr:colOff>107156</xdr:colOff>
      <xdr:row>23</xdr:row>
      <xdr:rowOff>166687</xdr:rowOff>
    </xdr:from>
    <xdr:to>
      <xdr:col>5</xdr:col>
      <xdr:colOff>446484</xdr:colOff>
      <xdr:row>26</xdr:row>
      <xdr:rowOff>154780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E824DF-2FCF-427E-ABCC-2B718923B96E}"/>
            </a:ext>
          </a:extLst>
        </xdr:cNvPr>
        <xdr:cNvSpPr txBox="1"/>
      </xdr:nvSpPr>
      <xdr:spPr>
        <a:xfrm>
          <a:off x="3650456" y="48434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Table_itrust2</a:t>
          </a:r>
        </a:p>
      </xdr:txBody>
    </xdr:sp>
    <xdr:clientData/>
  </xdr:twoCellAnchor>
  <xdr:twoCellAnchor>
    <xdr:from>
      <xdr:col>3</xdr:col>
      <xdr:colOff>107156</xdr:colOff>
      <xdr:row>36</xdr:row>
      <xdr:rowOff>166687</xdr:rowOff>
    </xdr:from>
    <xdr:to>
      <xdr:col>5</xdr:col>
      <xdr:colOff>446484</xdr:colOff>
      <xdr:row>39</xdr:row>
      <xdr:rowOff>154780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CC2A34-B0C0-44F8-8BB1-861CB056A8E6}"/>
            </a:ext>
          </a:extLst>
        </xdr:cNvPr>
        <xdr:cNvSpPr txBox="1"/>
      </xdr:nvSpPr>
      <xdr:spPr>
        <a:xfrm>
          <a:off x="3650456" y="7319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Table_itrust3</a:t>
          </a:r>
        </a:p>
      </xdr:txBody>
    </xdr:sp>
    <xdr:clientData/>
  </xdr:twoCellAnchor>
  <xdr:twoCellAnchor>
    <xdr:from>
      <xdr:col>3</xdr:col>
      <xdr:colOff>107156</xdr:colOff>
      <xdr:row>48</xdr:row>
      <xdr:rowOff>166687</xdr:rowOff>
    </xdr:from>
    <xdr:to>
      <xdr:col>5</xdr:col>
      <xdr:colOff>446484</xdr:colOff>
      <xdr:row>51</xdr:row>
      <xdr:rowOff>154780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22D32AD-9135-4304-A5B4-C5F359583556}"/>
            </a:ext>
          </a:extLst>
        </xdr:cNvPr>
        <xdr:cNvSpPr txBox="1"/>
      </xdr:nvSpPr>
      <xdr:spPr>
        <a:xfrm>
          <a:off x="3650456" y="9605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Table_itrust4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16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8" totalsRowShown="0" headerRowDxfId="85" headerRowCellStyle="Heading 3" dataCellStyle="Cell-Normal">
  <autoFilter ref="A1:D8" xr:uid="{00000000-0009-0000-0100-000003000000}"/>
  <tableColumns count="4">
    <tableColumn id="1" xr3:uid="{00000000-0010-0000-0000-000001000000}" name="Tab name" dataCellStyle="Cell-Normal"/>
    <tableColumn id="2" xr3:uid="{00000000-0010-0000-0000-000002000000}" name="Contents" dataCellStyle="Cell-Normal"/>
    <tableColumn id="3" xr3:uid="{00000000-0010-0000-0000-000003000000}" name="Comments" dataCellStyle="Cell-Normal"/>
    <tableColumn id="4" xr3:uid="{1B8FDF6E-4960-4789-98B3-58D222A2D1F8}" name="rrrr" dataCellStyle="Cell-Normal"/>
  </tableColumns>
  <tableStyleInfo name="Table_1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1000000}" name="Table2026" displayName="Table2026" ref="A2:E7" totalsRowCount="1" headerRowDxfId="84" headerRowCellStyle="Cell-Normal" dataCellStyle="Cell-Normal" totalsRowCellStyle="Cell-Normal">
  <autoFilter ref="A2:E6" xr:uid="{00000000-0009-0000-0100-000019000000}"/>
  <tableColumns count="5">
    <tableColumn id="1" xr3:uid="{00000000-0010-0000-0100-000001000000}" name="Column1" totalsRowLabel="Total" dataCellStyle="Cell-Normal" totalsRowCellStyle="Cell-Normal"/>
    <tableColumn id="2" xr3:uid="{00000000-0010-0000-0100-000002000000}" name="Column2" dataCellStyle="Cell-Normal" totalsRowCellStyle="Cell-Normal"/>
    <tableColumn id="3" xr3:uid="{00000000-0010-0000-0100-000003000000}" name="Column3" dataCellStyle="Cell-Normal" totalsRowCellStyle="Cell-Normal"/>
    <tableColumn id="4" xr3:uid="{00000000-0010-0000-0100-000004000000}" name="Column4" dataCellStyle="Cell-Normal" totalsRowCellStyle="Cell-Normal"/>
    <tableColumn id="5" xr3:uid="{00000000-0010-0000-0100-000005000000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2000000}" name="Table2127" displayName="Table2127" ref="A10:E14" totalsRowCount="1">
  <autoFilter ref="A10:E13" xr:uid="{00000000-0009-0000-0100-00001A000000}"/>
  <tableColumns count="5">
    <tableColumn id="1" xr3:uid="{00000000-0010-0000-0200-000001000000}" name="Column1" totalsRowLabel="Total" dataCellStyle="Cell-Normal" totalsRowCellStyle="Cell-Normal"/>
    <tableColumn id="2" xr3:uid="{00000000-0010-0000-0200-000002000000}" name="Column2" dataCellStyle="Cell-Normal" totalsRowCellStyle="Cell-Normal"/>
    <tableColumn id="3" xr3:uid="{00000000-0010-0000-0200-000003000000}" name="Column3" dataCellStyle="Cell-Normal" totalsRowCellStyle="Cell-Normal"/>
    <tableColumn id="4" xr3:uid="{00000000-0010-0000-0200-000004000000}" name="Column4" dataCellStyle="Cell-Normal" totalsRowCellStyle="Cell-Normal"/>
    <tableColumn id="5" xr3:uid="{00000000-0010-0000-0200-000005000000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3000000}" name="Table2228" displayName="Table2228" ref="A17:E22" totalsRowCount="1">
  <autoFilter ref="A17:E21" xr:uid="{00000000-0009-0000-0100-00001B000000}"/>
  <tableColumns count="5">
    <tableColumn id="1" xr3:uid="{00000000-0010-0000-0300-000001000000}" name="Column1" totalsRowLabel="Total" dataCellStyle="Cell-Normal" totalsRowCellStyle="Cell-Normal"/>
    <tableColumn id="2" xr3:uid="{00000000-0010-0000-0300-000002000000}" name="Column2" dataCellStyle="Cell-Normal" totalsRowCellStyle="Cell-Normal"/>
    <tableColumn id="3" xr3:uid="{00000000-0010-0000-0300-000003000000}" name="Column3" dataCellStyle="Cell-Normal" totalsRowCellStyle="Cell-Normal"/>
    <tableColumn id="4" xr3:uid="{00000000-0010-0000-0300-000004000000}" name="Column4" dataCellStyle="Cell-Normal" totalsRowCellStyle="Cell-Normal"/>
    <tableColumn id="5" xr3:uid="{00000000-0010-0000-0300-000005000000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4000000}" name="Table2329" displayName="Table2329" ref="A25:E30" totalsRowCount="1">
  <autoFilter ref="A25:E29" xr:uid="{00000000-0009-0000-0100-00001C000000}"/>
  <tableColumns count="5">
    <tableColumn id="1" xr3:uid="{00000000-0010-0000-0400-000001000000}" name="Column1" totalsRowLabel="Total" dataCellStyle="Cell-Normal" totalsRowCellStyle="Cell-Normal"/>
    <tableColumn id="2" xr3:uid="{00000000-0010-0000-0400-000002000000}" name="Column2" dataCellStyle="Cell-Normal" totalsRowCellStyle="Cell-Normal"/>
    <tableColumn id="3" xr3:uid="{00000000-0010-0000-0400-000003000000}" name="Column3" dataCellStyle="Cell-Normal" totalsRowCellStyle="Cell-Normal"/>
    <tableColumn id="4" xr3:uid="{00000000-0010-0000-0400-000004000000}" name="Column4" dataCellStyle="Cell-Normal" totalsRowCellStyle="Cell-Normal"/>
    <tableColumn id="5" xr3:uid="{00000000-0010-0000-0400-000005000000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2" displayName="Table2" ref="B9:H18" totalsRowCount="1" headerRowDxfId="83" dataDxfId="82" totalsRowDxfId="81">
  <autoFilter ref="B9:H17" xr:uid="{00000000-0009-0000-0100-000005000000}"/>
  <tableColumns count="7">
    <tableColumn id="1" xr3:uid="{00000000-0010-0000-0500-000001000000}" name="C1/H1" totalsRowLabel="Total" dataDxfId="80" totalsRowDxfId="79"/>
    <tableColumn id="2" xr3:uid="{00000000-0010-0000-0500-000002000000}" name="H2" dataDxfId="78" totalsRowDxfId="77"/>
    <tableColumn id="3" xr3:uid="{00000000-0010-0000-0500-000003000000}" name="H3" dataDxfId="76" totalsRowDxfId="75"/>
    <tableColumn id="4" xr3:uid="{00000000-0010-0000-0500-000004000000}" name="H4" dataDxfId="74" totalsRowDxfId="73"/>
    <tableColumn id="5" xr3:uid="{00000000-0010-0000-0500-000005000000}" name="H5" dataDxfId="72" totalsRowDxfId="71"/>
    <tableColumn id="6" xr3:uid="{00000000-0010-0000-0500-000006000000}" name="H6" dataDxfId="70" totalsRowDxfId="69"/>
    <tableColumn id="7" xr3:uid="{00000000-0010-0000-0500-000007000000}" name="Htotal" totalsRowFunction="count" dataDxfId="68" totalsRowDxfId="67"/>
  </tableColumns>
  <tableStyleInfo name="Table_1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311" displayName="Table311" ref="B22:H31" totalsRowCount="1" headerRowDxfId="66" dataDxfId="65" totalsRowDxfId="64">
  <autoFilter ref="B22:H30" xr:uid="{00000000-0009-0000-0100-00000A000000}"/>
  <tableColumns count="7">
    <tableColumn id="1" xr3:uid="{00000000-0010-0000-0600-000001000000}" name="C1/H1" totalsRowLabel="Total" dataDxfId="63" totalsRowDxfId="62"/>
    <tableColumn id="2" xr3:uid="{00000000-0010-0000-0600-000002000000}" name="H2" dataDxfId="61" totalsRowDxfId="60"/>
    <tableColumn id="3" xr3:uid="{00000000-0010-0000-0600-000003000000}" name="H3" dataDxfId="59" totalsRowDxfId="58"/>
    <tableColumn id="4" xr3:uid="{00000000-0010-0000-0600-000004000000}" name="H4" dataDxfId="57" totalsRowDxfId="56"/>
    <tableColumn id="5" xr3:uid="{00000000-0010-0000-0600-000005000000}" name="H5" dataDxfId="55" totalsRowDxfId="54"/>
    <tableColumn id="6" xr3:uid="{00000000-0010-0000-0600-000006000000}" name="H6" dataDxfId="53" totalsRowDxfId="52"/>
    <tableColumn id="7" xr3:uid="{00000000-0010-0000-0600-000007000000}" name="Htotal" totalsRowFunction="count" dataDxfId="51" totalsRowDxfId="50"/>
  </tableColumns>
  <tableStyleInfo name="Table_2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e412" displayName="Table412" ref="B35:H44" totalsRowCount="1" headerRowDxfId="49" dataDxfId="47" totalsRowDxfId="45" headerRowBorderDxfId="48" tableBorderDxfId="46" totalsRowBorderDxfId="44">
  <autoFilter ref="B35:H43" xr:uid="{00000000-0009-0000-0100-00000B000000}"/>
  <tableColumns count="7">
    <tableColumn id="1" xr3:uid="{00000000-0010-0000-0700-000001000000}" name="C1/H1" totalsRowLabel="Total" dataDxfId="43" totalsRowDxfId="42"/>
    <tableColumn id="2" xr3:uid="{00000000-0010-0000-0700-000002000000}" name="H2" dataDxfId="41" totalsRowDxfId="40"/>
    <tableColumn id="3" xr3:uid="{00000000-0010-0000-0700-000003000000}" name="H3" dataDxfId="39" totalsRowDxfId="38"/>
    <tableColumn id="4" xr3:uid="{00000000-0010-0000-0700-000004000000}" name="H4" dataDxfId="37" totalsRowDxfId="36"/>
    <tableColumn id="5" xr3:uid="{00000000-0010-0000-0700-000005000000}" name="H5" dataDxfId="35" totalsRowDxfId="34"/>
    <tableColumn id="6" xr3:uid="{00000000-0010-0000-0700-000006000000}" name="H6" dataDxfId="33" totalsRowDxfId="32"/>
    <tableColumn id="7" xr3:uid="{00000000-0010-0000-0700-000007000000}" name="Htotal" totalsRowFunction="count" dataDxfId="31" totalsRowDxfId="30"/>
  </tableColumns>
  <tableStyleInfo name="Table_3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46" displayName="Table46" ref="B47:H56" totalsRowCount="1" headerRowDxfId="29" dataDxfId="27" totalsRowDxfId="25" headerRowBorderDxfId="28" tableBorderDxfId="26" totalsRowBorderDxfId="24">
  <autoFilter ref="B47:H55" xr:uid="{00000000-0009-0000-0100-00000C000000}"/>
  <tableColumns count="7">
    <tableColumn id="1" xr3:uid="{00000000-0010-0000-0800-000001000000}" name="C1/H1" totalsRowLabel="Total" dataDxfId="23" totalsRowDxfId="22"/>
    <tableColumn id="2" xr3:uid="{00000000-0010-0000-0800-000002000000}" name="H2" dataDxfId="21" totalsRowDxfId="20"/>
    <tableColumn id="3" xr3:uid="{00000000-0010-0000-0800-000003000000}" name="H3" dataDxfId="19" totalsRowDxfId="18"/>
    <tableColumn id="4" xr3:uid="{00000000-0010-0000-0800-000004000000}" name="H4" dataDxfId="17" totalsRowDxfId="16"/>
    <tableColumn id="5" xr3:uid="{00000000-0010-0000-0800-000005000000}" name="H5" dataDxfId="15" totalsRowDxfId="14"/>
    <tableColumn id="6" xr3:uid="{00000000-0010-0000-0800-000006000000}" name="H6" dataDxfId="13" totalsRowDxfId="12"/>
    <tableColumn id="7" xr3:uid="{00000000-0010-0000-0800-000007000000}" name="Htotal" totalsRowFunction="count" dataDxfId="11" totalsRowDxfId="10"/>
  </tableColumns>
  <tableStyleInfo name="Table_4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Table614" displayName="Table614" ref="C60:G70" totalsRowShown="0" headerRowDxfId="9" dataDxfId="7" headerRowBorderDxfId="8" tableBorderDxfId="6" totalsRowBorderDxfId="5">
  <autoFilter ref="C60:G70" xr:uid="{00000000-0009-0000-0100-00000D000000}"/>
  <tableColumns count="5">
    <tableColumn id="1" xr3:uid="{00000000-0010-0000-0900-000001000000}" name="H1" dataDxfId="4"/>
    <tableColumn id="2" xr3:uid="{00000000-0010-0000-0900-000002000000}" name="H2" dataDxfId="3"/>
    <tableColumn id="3" xr3:uid="{00000000-0010-0000-0900-000003000000}" name="H3" dataDxfId="2"/>
    <tableColumn id="4" xr3:uid="{00000000-0010-0000-0900-000004000000}" name="H4" dataDxfId="1"/>
    <tableColumn id="5" xr3:uid="{00000000-0010-0000-0900-000005000000}" name="H5" dataDxfId="0"/>
  </tableColumns>
  <tableStyleInfo name="Table_1" showFirstColumn="0" showLastColumn="0" showRowStripes="1" showColumnStripes="0"/>
</table>
</file>

<file path=xl/theme/theme1.xml><?xml version="1.0" encoding="utf-8"?>
<a:theme xmlns:a="http://schemas.openxmlformats.org/drawingml/2006/main" name="itrust_20190109">
  <a:themeElements>
    <a:clrScheme name="itrust">
      <a:dk1>
        <a:sysClr val="windowText" lastClr="000000"/>
      </a:dk1>
      <a:lt1>
        <a:sysClr val="window" lastClr="FFFFFF"/>
      </a:lt1>
      <a:dk2>
        <a:srgbClr val="5F497A"/>
      </a:dk2>
      <a:lt2>
        <a:srgbClr val="DED7E7"/>
      </a:lt2>
      <a:accent1>
        <a:srgbClr val="BEB0D0"/>
      </a:accent1>
      <a:accent2>
        <a:srgbClr val="FFF26E"/>
      </a:accent2>
      <a:accent3>
        <a:srgbClr val="C0C0C0"/>
      </a:accent3>
      <a:accent4>
        <a:srgbClr val="E61F3D"/>
      </a:accent4>
      <a:accent5>
        <a:srgbClr val="E61F3D"/>
      </a:accent5>
      <a:accent6>
        <a:srgbClr val="5F497A"/>
      </a:accent6>
      <a:hlink>
        <a:srgbClr val="0070C0"/>
      </a:hlink>
      <a:folHlink>
        <a:srgbClr val="00B0F0"/>
      </a:folHlink>
    </a:clrScheme>
    <a:fontScheme name="itrust">
      <a:majorFont>
        <a:latin typeface="Corbel"/>
        <a:ea typeface=""/>
        <a:cs typeface=""/>
      </a:majorFont>
      <a:minorFont>
        <a:latin typeface="Corbel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G34"/>
  <sheetViews>
    <sheetView tabSelected="1" view="pageLayout" topLeftCell="A6" zoomScale="110" zoomScaleNormal="85" zoomScalePageLayoutView="110" workbookViewId="0">
      <selection activeCell="C9" sqref="C9:G9"/>
    </sheetView>
  </sheetViews>
  <sheetFormatPr defaultColWidth="9.1640625" defaultRowHeight="15" x14ac:dyDescent="0.2"/>
  <cols>
    <col min="1" max="1" width="12.6640625" style="2" customWidth="1"/>
    <col min="2" max="2" width="15.83203125" style="2" customWidth="1"/>
    <col min="3" max="3" width="27" style="2" customWidth="1"/>
    <col min="4" max="4" width="9.1640625" style="2"/>
    <col min="5" max="5" width="19.83203125" style="2" customWidth="1"/>
    <col min="6" max="6" width="19.33203125" style="2" customWidth="1"/>
    <col min="7" max="7" width="28" style="2" customWidth="1"/>
    <col min="8" max="16384" width="9.1640625" style="2"/>
  </cols>
  <sheetData>
    <row r="1" spans="1:7" ht="26.25" x14ac:dyDescent="0.2">
      <c r="A1" s="51" t="s">
        <v>17</v>
      </c>
      <c r="B1" s="51"/>
      <c r="C1" s="51"/>
      <c r="D1" s="51"/>
      <c r="E1" s="51"/>
      <c r="F1" s="51"/>
      <c r="G1" s="51"/>
    </row>
    <row r="2" spans="1:7" s="3" customFormat="1" ht="23.25" x14ac:dyDescent="0.2">
      <c r="A2" s="52" t="s">
        <v>74</v>
      </c>
      <c r="B2" s="52"/>
      <c r="C2" s="52"/>
      <c r="D2" s="52"/>
      <c r="E2" s="52"/>
      <c r="F2" s="52"/>
      <c r="G2" s="52"/>
    </row>
    <row r="3" spans="1:7" x14ac:dyDescent="0.2">
      <c r="A3" s="53"/>
      <c r="B3" s="53"/>
      <c r="C3" s="53"/>
      <c r="D3" s="53"/>
      <c r="E3" s="53"/>
      <c r="F3" s="53"/>
      <c r="G3" s="53"/>
    </row>
    <row r="4" spans="1:7" ht="19.5" customHeight="1" x14ac:dyDescent="0.2">
      <c r="A4" s="54" t="s">
        <v>22</v>
      </c>
      <c r="B4" s="54"/>
      <c r="C4" s="54"/>
      <c r="D4" s="54"/>
      <c r="E4" s="54"/>
      <c r="F4" s="54"/>
      <c r="G4" s="54"/>
    </row>
    <row r="5" spans="1:7" s="4" customFormat="1" x14ac:dyDescent="0.2">
      <c r="A5" s="55" t="s">
        <v>25</v>
      </c>
      <c r="B5" s="55"/>
      <c r="C5" s="56" t="s">
        <v>75</v>
      </c>
      <c r="D5" s="57"/>
      <c r="E5" s="57"/>
      <c r="F5" s="57"/>
      <c r="G5" s="58"/>
    </row>
    <row r="6" spans="1:7" s="4" customFormat="1" x14ac:dyDescent="0.2">
      <c r="A6" s="55" t="s">
        <v>0</v>
      </c>
      <c r="B6" s="55"/>
      <c r="C6" s="56" t="s">
        <v>99</v>
      </c>
      <c r="D6" s="57"/>
      <c r="E6" s="57"/>
      <c r="F6" s="57"/>
      <c r="G6" s="58"/>
    </row>
    <row r="7" spans="1:7" s="4" customFormat="1" x14ac:dyDescent="0.2">
      <c r="A7" s="55" t="s">
        <v>10</v>
      </c>
      <c r="B7" s="55"/>
      <c r="C7" s="57" t="s">
        <v>23</v>
      </c>
      <c r="D7" s="57"/>
      <c r="E7" s="57"/>
      <c r="F7" s="57"/>
      <c r="G7" s="58"/>
    </row>
    <row r="8" spans="1:7" s="4" customFormat="1" x14ac:dyDescent="0.2">
      <c r="A8" s="55" t="s">
        <v>9</v>
      </c>
      <c r="B8" s="55"/>
      <c r="C8" s="57" t="s">
        <v>30</v>
      </c>
      <c r="D8" s="57"/>
      <c r="E8" s="57"/>
      <c r="F8" s="57"/>
      <c r="G8" s="58"/>
    </row>
    <row r="9" spans="1:7" s="4" customFormat="1" x14ac:dyDescent="0.2">
      <c r="A9" s="55" t="s">
        <v>67</v>
      </c>
      <c r="B9" s="55"/>
      <c r="C9" s="59">
        <v>43488</v>
      </c>
      <c r="D9" s="59"/>
      <c r="E9" s="59"/>
      <c r="F9" s="59"/>
      <c r="G9" s="60"/>
    </row>
    <row r="10" spans="1:7" s="4" customFormat="1" x14ac:dyDescent="0.2">
      <c r="A10" s="61" t="s">
        <v>1</v>
      </c>
      <c r="B10" s="61"/>
      <c r="C10" s="62" t="s">
        <v>66</v>
      </c>
      <c r="D10" s="63"/>
      <c r="E10" s="63"/>
      <c r="F10" s="63"/>
      <c r="G10" s="64"/>
    </row>
    <row r="11" spans="1:7" s="4" customFormat="1" ht="12.75" x14ac:dyDescent="0.2">
      <c r="A11" s="67"/>
      <c r="B11" s="67"/>
      <c r="C11" s="67"/>
      <c r="D11" s="67"/>
      <c r="E11" s="67"/>
      <c r="F11" s="67"/>
      <c r="G11" s="67"/>
    </row>
    <row r="12" spans="1:7" ht="15.75" x14ac:dyDescent="0.2">
      <c r="A12" s="68" t="s">
        <v>26</v>
      </c>
      <c r="B12" s="68"/>
      <c r="C12" s="68"/>
      <c r="D12" s="68"/>
      <c r="E12" s="68"/>
      <c r="F12" s="68"/>
      <c r="G12" s="68"/>
    </row>
    <row r="13" spans="1:7" x14ac:dyDescent="0.2">
      <c r="A13" s="65" t="s">
        <v>27</v>
      </c>
      <c r="B13" s="65"/>
      <c r="C13" s="65"/>
      <c r="D13" s="65" t="s">
        <v>18</v>
      </c>
      <c r="E13" s="65"/>
      <c r="F13" s="65"/>
      <c r="G13" s="65"/>
    </row>
    <row r="14" spans="1:7" x14ac:dyDescent="0.2">
      <c r="A14" s="66" t="s">
        <v>11</v>
      </c>
      <c r="B14" s="66"/>
      <c r="C14" s="66"/>
      <c r="D14" s="66" t="s">
        <v>4</v>
      </c>
      <c r="E14" s="66"/>
      <c r="F14" s="66"/>
      <c r="G14" s="66"/>
    </row>
    <row r="15" spans="1:7" s="4" customFormat="1" ht="12.75" x14ac:dyDescent="0.2">
      <c r="A15" s="67"/>
      <c r="B15" s="67"/>
      <c r="C15" s="67"/>
      <c r="D15" s="67"/>
      <c r="E15" s="67"/>
      <c r="F15" s="67"/>
      <c r="G15" s="67"/>
    </row>
    <row r="16" spans="1:7" ht="15.75" x14ac:dyDescent="0.2">
      <c r="A16" s="68" t="s">
        <v>28</v>
      </c>
      <c r="B16" s="68"/>
      <c r="C16" s="68"/>
      <c r="D16" s="68"/>
      <c r="E16" s="68"/>
      <c r="F16" s="68"/>
      <c r="G16" s="68"/>
    </row>
    <row r="17" spans="1:7" x14ac:dyDescent="0.2">
      <c r="A17" s="65" t="s">
        <v>12</v>
      </c>
      <c r="B17" s="65"/>
      <c r="C17" s="32" t="s">
        <v>2</v>
      </c>
      <c r="D17" s="65" t="s">
        <v>13</v>
      </c>
      <c r="E17" s="65"/>
      <c r="F17" s="65"/>
      <c r="G17" s="65"/>
    </row>
    <row r="18" spans="1:7" x14ac:dyDescent="0.2">
      <c r="A18" s="69" t="s">
        <v>33</v>
      </c>
      <c r="B18" s="70"/>
      <c r="C18" s="1">
        <v>43449</v>
      </c>
      <c r="D18" s="69" t="s">
        <v>29</v>
      </c>
      <c r="E18" s="71"/>
      <c r="F18" s="80"/>
      <c r="G18" s="80"/>
    </row>
    <row r="19" spans="1:7" x14ac:dyDescent="0.2">
      <c r="A19" s="72"/>
      <c r="B19" s="72"/>
      <c r="C19" s="72"/>
      <c r="D19" s="72"/>
      <c r="E19" s="72"/>
      <c r="F19" s="72"/>
      <c r="G19" s="72"/>
    </row>
    <row r="20" spans="1:7" ht="15.75" x14ac:dyDescent="0.2">
      <c r="A20" s="68" t="s">
        <v>36</v>
      </c>
      <c r="B20" s="68"/>
      <c r="C20" s="68"/>
      <c r="D20" s="68"/>
      <c r="E20" s="68"/>
      <c r="F20" s="68"/>
      <c r="G20" s="68"/>
    </row>
    <row r="21" spans="1:7" x14ac:dyDescent="0.2">
      <c r="A21" s="65" t="s">
        <v>7</v>
      </c>
      <c r="B21" s="65"/>
      <c r="C21" s="32" t="s">
        <v>6</v>
      </c>
      <c r="D21" s="65" t="s">
        <v>8</v>
      </c>
      <c r="E21" s="65"/>
      <c r="F21" s="32" t="s">
        <v>2</v>
      </c>
      <c r="G21" s="32" t="s">
        <v>3</v>
      </c>
    </row>
    <row r="22" spans="1:7" ht="32.25" customHeight="1" x14ac:dyDescent="0.2">
      <c r="A22" s="81" t="s">
        <v>100</v>
      </c>
      <c r="B22" s="82"/>
      <c r="C22" s="5" t="s">
        <v>30</v>
      </c>
      <c r="D22" s="81" t="s">
        <v>14</v>
      </c>
      <c r="E22" s="83"/>
      <c r="F22" s="1">
        <v>43488</v>
      </c>
      <c r="G22" s="6" t="s">
        <v>35</v>
      </c>
    </row>
    <row r="23" spans="1:7" ht="32.25" customHeight="1" x14ac:dyDescent="0.2">
      <c r="A23" s="81" t="s">
        <v>11</v>
      </c>
      <c r="B23" s="82"/>
      <c r="C23" s="5" t="s">
        <v>31</v>
      </c>
      <c r="D23" s="81" t="s">
        <v>15</v>
      </c>
      <c r="E23" s="83"/>
      <c r="F23" s="1">
        <v>43488</v>
      </c>
      <c r="G23" s="6" t="s">
        <v>35</v>
      </c>
    </row>
    <row r="24" spans="1:7" x14ac:dyDescent="0.2">
      <c r="A24" s="84"/>
      <c r="B24" s="84"/>
      <c r="C24" s="84"/>
      <c r="D24" s="84"/>
      <c r="E24" s="84"/>
      <c r="F24" s="84"/>
      <c r="G24" s="84"/>
    </row>
    <row r="25" spans="1:7" ht="15.75" x14ac:dyDescent="0.2">
      <c r="A25" s="68" t="s">
        <v>32</v>
      </c>
      <c r="B25" s="68"/>
      <c r="C25" s="68"/>
      <c r="D25" s="68"/>
      <c r="E25" s="68"/>
      <c r="F25" s="68"/>
      <c r="G25" s="68"/>
    </row>
    <row r="26" spans="1:7" x14ac:dyDescent="0.2">
      <c r="A26" s="32" t="s">
        <v>0</v>
      </c>
      <c r="B26" s="32" t="s">
        <v>2</v>
      </c>
      <c r="C26" s="32" t="s">
        <v>5</v>
      </c>
      <c r="D26" s="76" t="s">
        <v>16</v>
      </c>
      <c r="E26" s="77"/>
      <c r="F26" s="77"/>
      <c r="G26" s="78"/>
    </row>
    <row r="27" spans="1:7" x14ac:dyDescent="0.2">
      <c r="A27" s="39" t="s">
        <v>19</v>
      </c>
      <c r="B27" s="40">
        <v>43243</v>
      </c>
      <c r="C27" s="36" t="s">
        <v>11</v>
      </c>
      <c r="D27" s="79" t="s">
        <v>76</v>
      </c>
      <c r="E27" s="74"/>
      <c r="F27" s="74"/>
      <c r="G27" s="75"/>
    </row>
    <row r="28" spans="1:7" x14ac:dyDescent="0.2">
      <c r="A28" s="41" t="s">
        <v>77</v>
      </c>
      <c r="B28" s="40">
        <v>43449</v>
      </c>
      <c r="C28" s="38" t="s">
        <v>11</v>
      </c>
      <c r="D28" s="73" t="s">
        <v>78</v>
      </c>
      <c r="E28" s="74"/>
      <c r="F28" s="74"/>
      <c r="G28" s="75"/>
    </row>
    <row r="29" spans="1:7" ht="39" customHeight="1" x14ac:dyDescent="0.2">
      <c r="A29" s="41" t="s">
        <v>99</v>
      </c>
      <c r="B29" s="40">
        <v>43488</v>
      </c>
      <c r="C29" s="50" t="s">
        <v>11</v>
      </c>
      <c r="D29" s="73" t="s">
        <v>101</v>
      </c>
      <c r="E29" s="74"/>
      <c r="F29" s="74"/>
      <c r="G29" s="75"/>
    </row>
    <row r="30" spans="1:7" x14ac:dyDescent="0.2">
      <c r="A30" s="39"/>
      <c r="B30" s="40"/>
      <c r="C30" s="43"/>
      <c r="D30" s="79"/>
      <c r="E30" s="74"/>
      <c r="F30" s="74"/>
      <c r="G30" s="75"/>
    </row>
    <row r="31" spans="1:7" x14ac:dyDescent="0.2">
      <c r="A31" s="39"/>
      <c r="B31" s="40"/>
      <c r="C31" s="44"/>
      <c r="D31" s="79"/>
      <c r="E31" s="74"/>
      <c r="F31" s="74"/>
      <c r="G31" s="75"/>
    </row>
    <row r="32" spans="1:7" x14ac:dyDescent="0.2">
      <c r="A32" s="39"/>
      <c r="B32" s="40"/>
      <c r="C32" s="36"/>
      <c r="D32" s="79"/>
      <c r="E32" s="74"/>
      <c r="F32" s="74"/>
      <c r="G32" s="75"/>
    </row>
    <row r="33" spans="1:7" x14ac:dyDescent="0.2">
      <c r="A33" s="39"/>
      <c r="B33" s="40"/>
      <c r="C33" s="36"/>
      <c r="D33" s="79"/>
      <c r="E33" s="74"/>
      <c r="F33" s="74"/>
      <c r="G33" s="75"/>
    </row>
    <row r="34" spans="1:7" x14ac:dyDescent="0.2">
      <c r="A34" s="39"/>
      <c r="B34" s="40"/>
      <c r="C34" s="36"/>
      <c r="D34" s="79"/>
      <c r="E34" s="74"/>
      <c r="F34" s="74"/>
      <c r="G34" s="75"/>
    </row>
  </sheetData>
  <mergeCells count="49">
    <mergeCell ref="D34:G34"/>
    <mergeCell ref="D29:G29"/>
    <mergeCell ref="D30:G30"/>
    <mergeCell ref="D31:G31"/>
    <mergeCell ref="D32:G32"/>
    <mergeCell ref="D33:G33"/>
    <mergeCell ref="D28:G28"/>
    <mergeCell ref="A11:G11"/>
    <mergeCell ref="A12:G12"/>
    <mergeCell ref="A25:G25"/>
    <mergeCell ref="D26:G26"/>
    <mergeCell ref="D27:G27"/>
    <mergeCell ref="A13:C13"/>
    <mergeCell ref="D13:G13"/>
    <mergeCell ref="F18:G18"/>
    <mergeCell ref="A20:G20"/>
    <mergeCell ref="A22:B22"/>
    <mergeCell ref="D22:E22"/>
    <mergeCell ref="A23:B23"/>
    <mergeCell ref="D23:E23"/>
    <mergeCell ref="A24:G24"/>
    <mergeCell ref="A9:B9"/>
    <mergeCell ref="C9:G9"/>
    <mergeCell ref="A10:B10"/>
    <mergeCell ref="C10:G10"/>
    <mergeCell ref="A21:B21"/>
    <mergeCell ref="D21:E21"/>
    <mergeCell ref="A14:C14"/>
    <mergeCell ref="D14:G14"/>
    <mergeCell ref="A15:G15"/>
    <mergeCell ref="A16:G16"/>
    <mergeCell ref="A17:B17"/>
    <mergeCell ref="D17:E17"/>
    <mergeCell ref="F17:G17"/>
    <mergeCell ref="A18:B18"/>
    <mergeCell ref="D18:E18"/>
    <mergeCell ref="A19:G19"/>
    <mergeCell ref="A6:B6"/>
    <mergeCell ref="C6:G6"/>
    <mergeCell ref="A7:B7"/>
    <mergeCell ref="C7:G7"/>
    <mergeCell ref="A8:B8"/>
    <mergeCell ref="C8:G8"/>
    <mergeCell ref="A1:G1"/>
    <mergeCell ref="A2:G2"/>
    <mergeCell ref="A3:G3"/>
    <mergeCell ref="A4:G4"/>
    <mergeCell ref="A5:B5"/>
    <mergeCell ref="C5:G5"/>
  </mergeCells>
  <phoneticPr fontId="9" type="noConversion"/>
  <printOptions horizontalCentered="1"/>
  <pageMargins left="0.20208333333333334" right="0.20416666666666666" top="0.94488188976377963" bottom="0.74803149606299213" header="0.31496062992125984" footer="0.31496062992125984"/>
  <pageSetup paperSize="9" fitToHeight="100" orientation="portrait" r:id="rId1"/>
  <headerFooter>
    <oddHeader>&amp;L&amp;"Corbel,Regular"&amp;8&amp;G</oddHeader>
    <oddFooter>&amp;L&amp;"Corbel,Regular"&amp;8&amp;F&amp;C&amp;"Corbel,Regular"&amp;8&amp;D - &amp;T&amp;R
&amp;"Corbel,Regular"&amp;8&amp;A - &amp;P/&amp;N</oddFooter>
  </headerFooter>
  <ignoredErrors>
    <ignoredError sqref="A27" numberStoredAsText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8"/>
  <sheetViews>
    <sheetView view="pageLayout" zoomScale="85" zoomScaleNormal="85" zoomScalePageLayoutView="85" workbookViewId="0">
      <selection activeCell="A2" sqref="A2:G2"/>
    </sheetView>
  </sheetViews>
  <sheetFormatPr defaultColWidth="9.1640625" defaultRowHeight="15" x14ac:dyDescent="0.2"/>
  <cols>
    <col min="1" max="1" width="20.1640625" style="2" customWidth="1"/>
    <col min="2" max="2" width="47.83203125" style="2" customWidth="1"/>
    <col min="3" max="3" width="53.5" style="2" customWidth="1"/>
    <col min="4" max="16384" width="9.1640625" style="2"/>
  </cols>
  <sheetData>
    <row r="1" spans="1:4" ht="23.25" customHeight="1" x14ac:dyDescent="0.2">
      <c r="A1" s="42" t="s">
        <v>34</v>
      </c>
      <c r="B1" s="42" t="s">
        <v>20</v>
      </c>
      <c r="C1" s="42" t="s">
        <v>21</v>
      </c>
      <c r="D1" s="42" t="s">
        <v>96</v>
      </c>
    </row>
    <row r="2" spans="1:4" ht="25.5" x14ac:dyDescent="0.2">
      <c r="A2" s="34" t="s">
        <v>83</v>
      </c>
      <c r="B2" s="33" t="s">
        <v>73</v>
      </c>
      <c r="C2" s="33"/>
      <c r="D2" s="33">
        <v>12</v>
      </c>
    </row>
    <row r="3" spans="1:4" x14ac:dyDescent="0.2">
      <c r="A3" s="33" t="s">
        <v>84</v>
      </c>
      <c r="B3" s="33" t="s">
        <v>90</v>
      </c>
      <c r="C3" s="33" t="s">
        <v>92</v>
      </c>
      <c r="D3" s="33">
        <v>12</v>
      </c>
    </row>
    <row r="4" spans="1:4" x14ac:dyDescent="0.2">
      <c r="A4" s="34" t="s">
        <v>85</v>
      </c>
      <c r="B4" s="33" t="s">
        <v>90</v>
      </c>
      <c r="C4" s="33" t="s">
        <v>92</v>
      </c>
      <c r="D4" s="33">
        <v>22</v>
      </c>
    </row>
    <row r="5" spans="1:4" x14ac:dyDescent="0.2">
      <c r="A5" s="33" t="s">
        <v>86</v>
      </c>
      <c r="B5" s="33" t="s">
        <v>91</v>
      </c>
      <c r="C5" s="33" t="s">
        <v>92</v>
      </c>
      <c r="D5" s="33">
        <v>2</v>
      </c>
    </row>
    <row r="6" spans="1:4" x14ac:dyDescent="0.2">
      <c r="A6" s="34" t="s">
        <v>87</v>
      </c>
      <c r="B6" s="33" t="s">
        <v>91</v>
      </c>
      <c r="C6" s="33"/>
      <c r="D6" s="33">
        <v>1</v>
      </c>
    </row>
    <row r="7" spans="1:4" x14ac:dyDescent="0.2">
      <c r="A7" s="33" t="s">
        <v>88</v>
      </c>
      <c r="B7" s="33" t="s">
        <v>91</v>
      </c>
      <c r="C7" s="33"/>
      <c r="D7" s="33">
        <v>1</v>
      </c>
    </row>
    <row r="8" spans="1:4" x14ac:dyDescent="0.2">
      <c r="A8" s="34" t="s">
        <v>89</v>
      </c>
      <c r="B8" s="33" t="s">
        <v>91</v>
      </c>
      <c r="C8" s="33"/>
      <c r="D8" s="33">
        <v>212</v>
      </c>
    </row>
  </sheetData>
  <phoneticPr fontId="9" type="noConversion"/>
  <conditionalFormatting sqref="B2:B8">
    <cfRule type="cellIs" dxfId="88" priority="16" stopIfTrue="1" operator="equal">
      <formula>"Policy"</formula>
    </cfRule>
    <cfRule type="cellIs" dxfId="87" priority="17" stopIfTrue="1" operator="equal">
      <formula>"Procedure"</formula>
    </cfRule>
    <cfRule type="cellIs" dxfId="86" priority="18" stopIfTrue="1" operator="equal">
      <formula>"Standard"</formula>
    </cfRule>
  </conditionalFormatting>
  <pageMargins left="0.19927536231884058" right="0.23958333333333334" top="0.9873188405797102" bottom="0.75" header="0.3" footer="0.3"/>
  <pageSetup orientation="landscape" r:id="rId1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30"/>
  <sheetViews>
    <sheetView view="pageLayout" zoomScale="85" zoomScaleNormal="85" zoomScalePageLayoutView="85" workbookViewId="0">
      <selection activeCell="A2" sqref="A2:G2"/>
    </sheetView>
  </sheetViews>
  <sheetFormatPr defaultColWidth="9.1640625" defaultRowHeight="15" x14ac:dyDescent="0.2"/>
  <cols>
    <col min="1" max="5" width="17.33203125" style="7" customWidth="1"/>
    <col min="6" max="16384" width="9.1640625" style="7"/>
  </cols>
  <sheetData>
    <row r="1" spans="1:5" ht="26.25" x14ac:dyDescent="0.2">
      <c r="A1" s="88" t="s">
        <v>79</v>
      </c>
      <c r="B1" s="88"/>
      <c r="C1" s="88"/>
      <c r="D1" s="88"/>
      <c r="E1" s="88"/>
    </row>
    <row r="2" spans="1:5" ht="23.25" customHeight="1" x14ac:dyDescent="0.2">
      <c r="A2" s="37" t="s">
        <v>68</v>
      </c>
      <c r="B2" s="37" t="s">
        <v>69</v>
      </c>
      <c r="C2" s="37" t="s">
        <v>70</v>
      </c>
      <c r="D2" s="37" t="s">
        <v>71</v>
      </c>
      <c r="E2" s="37" t="s">
        <v>72</v>
      </c>
    </row>
    <row r="3" spans="1:5" x14ac:dyDescent="0.2">
      <c r="A3" s="33"/>
      <c r="B3" s="33"/>
      <c r="C3" s="33"/>
      <c r="D3" s="33"/>
      <c r="E3" s="33"/>
    </row>
    <row r="4" spans="1:5" x14ac:dyDescent="0.2">
      <c r="A4" s="33"/>
      <c r="B4" s="33"/>
      <c r="C4" s="33"/>
      <c r="D4" s="33"/>
      <c r="E4" s="33"/>
    </row>
    <row r="5" spans="1:5" x14ac:dyDescent="0.2">
      <c r="A5" s="33"/>
      <c r="B5" s="33"/>
      <c r="C5" s="33"/>
      <c r="D5" s="33"/>
      <c r="E5" s="33"/>
    </row>
    <row r="6" spans="1:5" x14ac:dyDescent="0.2">
      <c r="A6" s="33"/>
      <c r="B6" s="33"/>
      <c r="C6" s="33"/>
      <c r="D6" s="33"/>
      <c r="E6" s="33"/>
    </row>
    <row r="7" spans="1:5" x14ac:dyDescent="0.2">
      <c r="A7" s="33" t="s">
        <v>24</v>
      </c>
      <c r="B7" s="33"/>
      <c r="C7" s="33"/>
      <c r="D7" s="33"/>
      <c r="E7" s="33">
        <f>SUBTOTAL(103,Table2026[Column5])</f>
        <v>0</v>
      </c>
    </row>
    <row r="8" spans="1:5" x14ac:dyDescent="0.2">
      <c r="A8" s="35"/>
      <c r="B8" s="35"/>
      <c r="C8" s="35"/>
      <c r="D8" s="35"/>
      <c r="E8" s="35"/>
    </row>
    <row r="9" spans="1:5" ht="26.25" x14ac:dyDescent="0.2">
      <c r="A9" s="87" t="s">
        <v>80</v>
      </c>
      <c r="B9" s="87"/>
      <c r="C9" s="87"/>
      <c r="D9" s="87"/>
      <c r="E9" s="87"/>
    </row>
    <row r="10" spans="1:5" x14ac:dyDescent="0.2">
      <c r="A10" s="35" t="s">
        <v>68</v>
      </c>
      <c r="B10" s="35" t="s">
        <v>69</v>
      </c>
      <c r="C10" s="35" t="s">
        <v>70</v>
      </c>
      <c r="D10" s="35" t="s">
        <v>71</v>
      </c>
      <c r="E10" s="35" t="s">
        <v>72</v>
      </c>
    </row>
    <row r="11" spans="1:5" x14ac:dyDescent="0.2">
      <c r="A11" s="33"/>
      <c r="B11" s="33"/>
      <c r="C11" s="33"/>
      <c r="D11" s="33"/>
      <c r="E11" s="33"/>
    </row>
    <row r="12" spans="1:5" x14ac:dyDescent="0.2">
      <c r="A12" s="33"/>
      <c r="B12" s="33"/>
      <c r="C12" s="33"/>
      <c r="D12" s="33"/>
      <c r="E12" s="33"/>
    </row>
    <row r="13" spans="1:5" x14ac:dyDescent="0.2">
      <c r="A13" s="33"/>
      <c r="B13" s="33"/>
      <c r="C13" s="33"/>
      <c r="D13" s="33"/>
      <c r="E13" s="33"/>
    </row>
    <row r="14" spans="1:5" x14ac:dyDescent="0.2">
      <c r="A14" s="33" t="s">
        <v>24</v>
      </c>
      <c r="B14" s="33"/>
      <c r="C14" s="33"/>
      <c r="D14" s="33"/>
      <c r="E14" s="33">
        <f>SUBTOTAL(103,Table2127[Column5])</f>
        <v>0</v>
      </c>
    </row>
    <row r="15" spans="1:5" x14ac:dyDescent="0.2">
      <c r="A15" s="35"/>
      <c r="B15" s="35"/>
      <c r="C15" s="35"/>
      <c r="D15" s="35"/>
      <c r="E15" s="35"/>
    </row>
    <row r="16" spans="1:5" ht="26.25" x14ac:dyDescent="0.2">
      <c r="A16" s="86" t="s">
        <v>81</v>
      </c>
      <c r="B16" s="86"/>
      <c r="C16" s="86"/>
      <c r="D16" s="86"/>
      <c r="E16" s="86"/>
    </row>
    <row r="17" spans="1:5" x14ac:dyDescent="0.2">
      <c r="A17" s="35" t="s">
        <v>68</v>
      </c>
      <c r="B17" s="35" t="s">
        <v>69</v>
      </c>
      <c r="C17" s="35" t="s">
        <v>70</v>
      </c>
      <c r="D17" s="35" t="s">
        <v>71</v>
      </c>
      <c r="E17" s="35" t="s">
        <v>72</v>
      </c>
    </row>
    <row r="18" spans="1:5" x14ac:dyDescent="0.2">
      <c r="A18" s="33"/>
      <c r="B18" s="33"/>
      <c r="C18" s="33"/>
      <c r="D18" s="33"/>
      <c r="E18" s="33"/>
    </row>
    <row r="19" spans="1:5" x14ac:dyDescent="0.2">
      <c r="A19" s="33"/>
      <c r="B19" s="34"/>
      <c r="C19" s="33"/>
      <c r="D19" s="33"/>
      <c r="E19" s="33"/>
    </row>
    <row r="20" spans="1:5" x14ac:dyDescent="0.2">
      <c r="A20" s="34"/>
      <c r="B20" s="33"/>
      <c r="C20" s="33"/>
      <c r="D20" s="33"/>
      <c r="E20" s="33"/>
    </row>
    <row r="21" spans="1:5" x14ac:dyDescent="0.2">
      <c r="A21" s="33"/>
      <c r="B21" s="33"/>
      <c r="C21" s="33"/>
      <c r="D21" s="33"/>
      <c r="E21" s="33"/>
    </row>
    <row r="22" spans="1:5" x14ac:dyDescent="0.2">
      <c r="A22" s="33" t="s">
        <v>24</v>
      </c>
      <c r="B22" s="33"/>
      <c r="C22" s="33"/>
      <c r="D22" s="33"/>
      <c r="E22" s="33">
        <f>SUBTOTAL(103,Table2228[Column5])</f>
        <v>0</v>
      </c>
    </row>
    <row r="23" spans="1:5" x14ac:dyDescent="0.2">
      <c r="A23" s="35"/>
      <c r="B23" s="35"/>
      <c r="C23" s="35"/>
      <c r="D23" s="35"/>
      <c r="E23" s="35"/>
    </row>
    <row r="24" spans="1:5" ht="26.25" x14ac:dyDescent="0.2">
      <c r="A24" s="85" t="s">
        <v>82</v>
      </c>
      <c r="B24" s="85"/>
      <c r="C24" s="85"/>
      <c r="D24" s="85"/>
      <c r="E24" s="85"/>
    </row>
    <row r="25" spans="1:5" x14ac:dyDescent="0.2">
      <c r="A25" s="35" t="s">
        <v>68</v>
      </c>
      <c r="B25" s="35" t="s">
        <v>69</v>
      </c>
      <c r="C25" s="35" t="s">
        <v>70</v>
      </c>
      <c r="D25" s="35" t="s">
        <v>71</v>
      </c>
      <c r="E25" s="35" t="s">
        <v>72</v>
      </c>
    </row>
    <row r="26" spans="1:5" x14ac:dyDescent="0.2">
      <c r="A26" s="33"/>
      <c r="B26" s="33"/>
      <c r="C26" s="33"/>
      <c r="D26" s="33"/>
      <c r="E26" s="33"/>
    </row>
    <row r="27" spans="1:5" x14ac:dyDescent="0.2">
      <c r="A27" s="33"/>
      <c r="B27" s="33"/>
      <c r="C27" s="33"/>
      <c r="D27" s="33"/>
      <c r="E27" s="33"/>
    </row>
    <row r="28" spans="1:5" x14ac:dyDescent="0.2">
      <c r="A28" s="33"/>
      <c r="B28" s="33"/>
      <c r="C28" s="33"/>
      <c r="D28" s="33"/>
      <c r="E28" s="33"/>
    </row>
    <row r="29" spans="1:5" x14ac:dyDescent="0.2">
      <c r="A29" s="33"/>
      <c r="B29" s="33"/>
      <c r="C29" s="33"/>
      <c r="D29" s="33"/>
      <c r="E29" s="33"/>
    </row>
    <row r="30" spans="1:5" x14ac:dyDescent="0.2">
      <c r="A30" s="33" t="s">
        <v>24</v>
      </c>
      <c r="B30" s="33"/>
      <c r="C30" s="33"/>
      <c r="D30" s="33"/>
      <c r="E30" s="33">
        <f>SUBTOTAL(103,Table2329[Column5])</f>
        <v>0</v>
      </c>
    </row>
  </sheetData>
  <mergeCells count="4">
    <mergeCell ref="A24:E24"/>
    <mergeCell ref="A16:E16"/>
    <mergeCell ref="A9:E9"/>
    <mergeCell ref="A1:E1"/>
  </mergeCells>
  <pageMargins left="0.19927536231884058" right="0.23958333333333334" top="0.9873188405797102" bottom="0.75" header="0.3" footer="0.3"/>
  <pageSetup orientation="portrait" r:id="rId1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C21"/>
  <sheetViews>
    <sheetView workbookViewId="0">
      <selection activeCell="A2" sqref="A2:G2"/>
    </sheetView>
  </sheetViews>
  <sheetFormatPr defaultRowHeight="11.25" x14ac:dyDescent="0.2"/>
  <cols>
    <col min="1" max="1" width="47" bestFit="1" customWidth="1"/>
    <col min="2" max="2" width="9.6640625" bestFit="1" customWidth="1"/>
    <col min="3" max="3" width="16.5" bestFit="1" customWidth="1"/>
    <col min="4" max="5" width="10.1640625" bestFit="1" customWidth="1"/>
    <col min="6" max="6" width="20.83203125" bestFit="1" customWidth="1"/>
    <col min="7" max="7" width="14.33203125" bestFit="1" customWidth="1"/>
  </cols>
  <sheetData>
    <row r="3" spans="1:3" x14ac:dyDescent="0.2">
      <c r="A3" s="45" t="s">
        <v>93</v>
      </c>
      <c r="B3" s="35" t="s">
        <v>97</v>
      </c>
      <c r="C3" s="35" t="s">
        <v>98</v>
      </c>
    </row>
    <row r="4" spans="1:3" x14ac:dyDescent="0.2">
      <c r="A4" s="46" t="s">
        <v>90</v>
      </c>
      <c r="B4" s="47">
        <v>34</v>
      </c>
      <c r="C4" s="47">
        <v>2</v>
      </c>
    </row>
    <row r="5" spans="1:3" x14ac:dyDescent="0.2">
      <c r="A5" s="48" t="s">
        <v>84</v>
      </c>
      <c r="B5" s="47">
        <v>12</v>
      </c>
      <c r="C5" s="47">
        <v>1</v>
      </c>
    </row>
    <row r="6" spans="1:3" x14ac:dyDescent="0.2">
      <c r="A6" s="49" t="s">
        <v>92</v>
      </c>
      <c r="B6" s="47">
        <v>12</v>
      </c>
      <c r="C6" s="47">
        <v>1</v>
      </c>
    </row>
    <row r="7" spans="1:3" x14ac:dyDescent="0.2">
      <c r="A7" s="48" t="s">
        <v>85</v>
      </c>
      <c r="B7" s="47">
        <v>22</v>
      </c>
      <c r="C7" s="47">
        <v>1</v>
      </c>
    </row>
    <row r="8" spans="1:3" x14ac:dyDescent="0.2">
      <c r="A8" s="49" t="s">
        <v>92</v>
      </c>
      <c r="B8" s="47">
        <v>22</v>
      </c>
      <c r="C8" s="47">
        <v>1</v>
      </c>
    </row>
    <row r="9" spans="1:3" x14ac:dyDescent="0.2">
      <c r="A9" s="46" t="s">
        <v>91</v>
      </c>
      <c r="B9" s="47">
        <v>216</v>
      </c>
      <c r="C9" s="47">
        <v>1</v>
      </c>
    </row>
    <row r="10" spans="1:3" x14ac:dyDescent="0.2">
      <c r="A10" s="48" t="s">
        <v>86</v>
      </c>
      <c r="B10" s="47">
        <v>2</v>
      </c>
      <c r="C10" s="47">
        <v>1</v>
      </c>
    </row>
    <row r="11" spans="1:3" x14ac:dyDescent="0.2">
      <c r="A11" s="49" t="s">
        <v>92</v>
      </c>
      <c r="B11" s="47">
        <v>2</v>
      </c>
      <c r="C11" s="47">
        <v>1</v>
      </c>
    </row>
    <row r="12" spans="1:3" x14ac:dyDescent="0.2">
      <c r="A12" s="48" t="s">
        <v>87</v>
      </c>
      <c r="B12" s="47">
        <v>1</v>
      </c>
      <c r="C12" s="47"/>
    </row>
    <row r="13" spans="1:3" x14ac:dyDescent="0.2">
      <c r="A13" s="49" t="s">
        <v>95</v>
      </c>
      <c r="B13" s="47">
        <v>1</v>
      </c>
      <c r="C13" s="47"/>
    </row>
    <row r="14" spans="1:3" x14ac:dyDescent="0.2">
      <c r="A14" s="48" t="s">
        <v>88</v>
      </c>
      <c r="B14" s="47">
        <v>1</v>
      </c>
      <c r="C14" s="47"/>
    </row>
    <row r="15" spans="1:3" x14ac:dyDescent="0.2">
      <c r="A15" s="49" t="s">
        <v>95</v>
      </c>
      <c r="B15" s="47">
        <v>1</v>
      </c>
      <c r="C15" s="47"/>
    </row>
    <row r="16" spans="1:3" x14ac:dyDescent="0.2">
      <c r="A16" s="48" t="s">
        <v>89</v>
      </c>
      <c r="B16" s="47">
        <v>212</v>
      </c>
      <c r="C16" s="47"/>
    </row>
    <row r="17" spans="1:3" x14ac:dyDescent="0.2">
      <c r="A17" s="49" t="s">
        <v>95</v>
      </c>
      <c r="B17" s="47">
        <v>212</v>
      </c>
      <c r="C17" s="47"/>
    </row>
    <row r="18" spans="1:3" x14ac:dyDescent="0.2">
      <c r="A18" s="46" t="s">
        <v>73</v>
      </c>
      <c r="B18" s="47">
        <v>12</v>
      </c>
      <c r="C18" s="47"/>
    </row>
    <row r="19" spans="1:3" x14ac:dyDescent="0.2">
      <c r="A19" s="48" t="s">
        <v>83</v>
      </c>
      <c r="B19" s="47">
        <v>12</v>
      </c>
      <c r="C19" s="47"/>
    </row>
    <row r="20" spans="1:3" x14ac:dyDescent="0.2">
      <c r="A20" s="49" t="s">
        <v>95</v>
      </c>
      <c r="B20" s="47">
        <v>12</v>
      </c>
      <c r="C20" s="47"/>
    </row>
    <row r="21" spans="1:3" x14ac:dyDescent="0.2">
      <c r="A21" s="46" t="s">
        <v>94</v>
      </c>
      <c r="B21" s="47">
        <v>262</v>
      </c>
      <c r="C21" s="47">
        <v>3</v>
      </c>
    </row>
  </sheetData>
  <pageMargins left="0.19927536231884058" right="0.23958333333333334" top="0.9873188405797102" bottom="0.75" header="0.3" footer="0.3"/>
  <pageSetup paperSize="9" orientation="portrait" r:id="rId2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70"/>
  <sheetViews>
    <sheetView view="pageLayout" zoomScale="85" zoomScaleNormal="100" zoomScalePageLayoutView="85" workbookViewId="0">
      <selection activeCell="A5" sqref="A5"/>
    </sheetView>
  </sheetViews>
  <sheetFormatPr defaultRowHeight="15" x14ac:dyDescent="0.2"/>
  <cols>
    <col min="1" max="1" width="53.5" style="7" customWidth="1"/>
    <col min="2" max="2" width="12.1640625" style="7" customWidth="1"/>
    <col min="3" max="4" width="8" style="7" customWidth="1"/>
    <col min="5" max="5" width="14" style="7" customWidth="1"/>
    <col min="6" max="6" width="13.83203125" style="7" customWidth="1"/>
    <col min="7" max="7" width="9.1640625" style="7" customWidth="1"/>
    <col min="8" max="8" width="13" style="7" customWidth="1"/>
    <col min="9" max="16384" width="9.33203125" style="7"/>
  </cols>
  <sheetData>
    <row r="1" spans="1:11" x14ac:dyDescent="0.2">
      <c r="A1" s="89" t="s">
        <v>37</v>
      </c>
      <c r="B1" s="89"/>
      <c r="C1" s="89"/>
      <c r="D1" s="89"/>
      <c r="E1" s="89"/>
      <c r="F1" s="89"/>
      <c r="G1" s="89"/>
      <c r="H1" s="89"/>
      <c r="I1" s="89"/>
      <c r="J1" s="89"/>
      <c r="K1" s="89"/>
    </row>
    <row r="3" spans="1:11" ht="21" x14ac:dyDescent="0.2">
      <c r="A3" s="90" t="s">
        <v>38</v>
      </c>
      <c r="B3" s="90"/>
      <c r="C3" s="90"/>
      <c r="D3" s="90"/>
      <c r="E3" s="90"/>
      <c r="F3" s="90"/>
      <c r="G3" s="90"/>
      <c r="H3" s="90"/>
      <c r="I3" s="90"/>
      <c r="J3" s="90"/>
      <c r="K3" s="90"/>
    </row>
    <row r="5" spans="1:11" x14ac:dyDescent="0.2">
      <c r="A5" s="8" t="s">
        <v>39</v>
      </c>
    </row>
    <row r="7" spans="1:11" x14ac:dyDescent="0.2">
      <c r="A7" s="9" t="s">
        <v>40</v>
      </c>
    </row>
    <row r="9" spans="1:11" ht="21" x14ac:dyDescent="0.2">
      <c r="B9" s="31" t="s">
        <v>41</v>
      </c>
      <c r="C9" s="7" t="s">
        <v>42</v>
      </c>
      <c r="D9" s="7" t="s">
        <v>43</v>
      </c>
      <c r="E9" s="7" t="s">
        <v>44</v>
      </c>
      <c r="F9" s="7" t="s">
        <v>45</v>
      </c>
      <c r="G9" s="7" t="s">
        <v>46</v>
      </c>
      <c r="H9" s="7" t="s">
        <v>47</v>
      </c>
    </row>
    <row r="10" spans="1:11" x14ac:dyDescent="0.2">
      <c r="B10" s="7" t="s">
        <v>48</v>
      </c>
      <c r="F10" s="10"/>
    </row>
    <row r="11" spans="1:11" x14ac:dyDescent="0.2">
      <c r="B11" s="7" t="s">
        <v>49</v>
      </c>
    </row>
    <row r="12" spans="1:11" x14ac:dyDescent="0.2">
      <c r="B12" s="7" t="s">
        <v>50</v>
      </c>
    </row>
    <row r="13" spans="1:11" x14ac:dyDescent="0.2">
      <c r="B13" s="7" t="s">
        <v>51</v>
      </c>
    </row>
    <row r="14" spans="1:11" x14ac:dyDescent="0.2">
      <c r="B14" s="7" t="s">
        <v>52</v>
      </c>
    </row>
    <row r="15" spans="1:11" x14ac:dyDescent="0.2">
      <c r="B15" s="7" t="s">
        <v>53</v>
      </c>
    </row>
    <row r="16" spans="1:11" x14ac:dyDescent="0.2">
      <c r="B16" s="7" t="s">
        <v>54</v>
      </c>
    </row>
    <row r="17" spans="1:8" x14ac:dyDescent="0.2">
      <c r="B17" s="7" t="s">
        <v>55</v>
      </c>
    </row>
    <row r="18" spans="1:8" x14ac:dyDescent="0.2">
      <c r="B18" s="7" t="s">
        <v>24</v>
      </c>
      <c r="H18" s="7">
        <f>SUBTOTAL(103,Table2[Htotal])</f>
        <v>0</v>
      </c>
    </row>
    <row r="20" spans="1:8" x14ac:dyDescent="0.2">
      <c r="A20" s="9" t="s">
        <v>56</v>
      </c>
    </row>
    <row r="22" spans="1:8" x14ac:dyDescent="0.2">
      <c r="B22" s="7" t="s">
        <v>41</v>
      </c>
      <c r="C22" s="7" t="s">
        <v>42</v>
      </c>
      <c r="D22" s="7" t="s">
        <v>43</v>
      </c>
      <c r="E22" s="7" t="s">
        <v>44</v>
      </c>
      <c r="F22" s="7" t="s">
        <v>45</v>
      </c>
      <c r="G22" s="7" t="s">
        <v>46</v>
      </c>
      <c r="H22" s="7" t="s">
        <v>47</v>
      </c>
    </row>
    <row r="23" spans="1:8" x14ac:dyDescent="0.2">
      <c r="B23" s="7" t="s">
        <v>48</v>
      </c>
    </row>
    <row r="24" spans="1:8" x14ac:dyDescent="0.2">
      <c r="B24" s="7" t="s">
        <v>49</v>
      </c>
    </row>
    <row r="25" spans="1:8" x14ac:dyDescent="0.2">
      <c r="B25" s="7" t="s">
        <v>50</v>
      </c>
    </row>
    <row r="26" spans="1:8" x14ac:dyDescent="0.2">
      <c r="B26" s="7" t="s">
        <v>51</v>
      </c>
    </row>
    <row r="27" spans="1:8" x14ac:dyDescent="0.2">
      <c r="B27" s="7" t="s">
        <v>52</v>
      </c>
    </row>
    <row r="28" spans="1:8" x14ac:dyDescent="0.2">
      <c r="B28" s="7" t="s">
        <v>53</v>
      </c>
    </row>
    <row r="29" spans="1:8" x14ac:dyDescent="0.2">
      <c r="B29" s="7" t="s">
        <v>54</v>
      </c>
    </row>
    <row r="30" spans="1:8" x14ac:dyDescent="0.2">
      <c r="B30" s="7" t="s">
        <v>55</v>
      </c>
    </row>
    <row r="31" spans="1:8" x14ac:dyDescent="0.2">
      <c r="B31" s="7" t="s">
        <v>24</v>
      </c>
      <c r="H31" s="7">
        <f>SUBTOTAL(103,Table311[Htotal])</f>
        <v>0</v>
      </c>
    </row>
    <row r="33" spans="1:8" x14ac:dyDescent="0.2">
      <c r="A33" s="9" t="s">
        <v>57</v>
      </c>
    </row>
    <row r="35" spans="1:8" x14ac:dyDescent="0.2">
      <c r="B35" s="11" t="s">
        <v>41</v>
      </c>
      <c r="C35" s="12" t="s">
        <v>42</v>
      </c>
      <c r="D35" s="12" t="s">
        <v>43</v>
      </c>
      <c r="E35" s="12" t="s">
        <v>44</v>
      </c>
      <c r="F35" s="12" t="s">
        <v>45</v>
      </c>
      <c r="G35" s="12" t="s">
        <v>46</v>
      </c>
      <c r="H35" s="13" t="s">
        <v>47</v>
      </c>
    </row>
    <row r="36" spans="1:8" x14ac:dyDescent="0.2">
      <c r="B36" s="14" t="s">
        <v>48</v>
      </c>
      <c r="C36" s="15"/>
      <c r="D36" s="15"/>
      <c r="E36" s="15"/>
      <c r="F36" s="15"/>
      <c r="G36" s="15"/>
      <c r="H36" s="16"/>
    </row>
    <row r="37" spans="1:8" x14ac:dyDescent="0.2">
      <c r="B37" s="14" t="s">
        <v>49</v>
      </c>
      <c r="C37" s="15"/>
      <c r="D37" s="15"/>
      <c r="E37" s="15"/>
      <c r="F37" s="15"/>
      <c r="G37" s="15"/>
      <c r="H37" s="16"/>
    </row>
    <row r="38" spans="1:8" x14ac:dyDescent="0.2">
      <c r="B38" s="14" t="s">
        <v>50</v>
      </c>
      <c r="C38" s="15"/>
      <c r="D38" s="15"/>
      <c r="E38" s="15"/>
      <c r="F38" s="15"/>
      <c r="G38" s="15"/>
      <c r="H38" s="16"/>
    </row>
    <row r="39" spans="1:8" x14ac:dyDescent="0.2">
      <c r="B39" s="14" t="s">
        <v>51</v>
      </c>
      <c r="C39" s="15"/>
      <c r="D39" s="15"/>
      <c r="E39" s="15"/>
      <c r="F39" s="15"/>
      <c r="G39" s="15"/>
      <c r="H39" s="16"/>
    </row>
    <row r="40" spans="1:8" x14ac:dyDescent="0.2">
      <c r="B40" s="14" t="s">
        <v>52</v>
      </c>
      <c r="C40" s="15"/>
      <c r="D40" s="15"/>
      <c r="E40" s="15"/>
      <c r="F40" s="15"/>
      <c r="G40" s="15"/>
      <c r="H40" s="16"/>
    </row>
    <row r="41" spans="1:8" x14ac:dyDescent="0.2">
      <c r="B41" s="14" t="s">
        <v>53</v>
      </c>
      <c r="C41" s="15"/>
      <c r="D41" s="15"/>
      <c r="E41" s="15"/>
      <c r="F41" s="15"/>
      <c r="G41" s="15"/>
      <c r="H41" s="16"/>
    </row>
    <row r="42" spans="1:8" x14ac:dyDescent="0.2">
      <c r="B42" s="14" t="s">
        <v>54</v>
      </c>
      <c r="C42" s="15"/>
      <c r="D42" s="15"/>
      <c r="E42" s="15"/>
      <c r="F42" s="15"/>
      <c r="G42" s="15"/>
      <c r="H42" s="16"/>
    </row>
    <row r="43" spans="1:8" x14ac:dyDescent="0.2">
      <c r="B43" s="14" t="s">
        <v>55</v>
      </c>
      <c r="C43" s="17"/>
      <c r="D43" s="17"/>
      <c r="E43" s="17"/>
      <c r="F43" s="17"/>
      <c r="G43" s="17"/>
      <c r="H43" s="18"/>
    </row>
    <row r="44" spans="1:8" x14ac:dyDescent="0.2">
      <c r="B44" s="19" t="s">
        <v>24</v>
      </c>
      <c r="C44" s="17"/>
      <c r="D44" s="17"/>
      <c r="E44" s="17"/>
      <c r="F44" s="17"/>
      <c r="G44" s="17"/>
      <c r="H44" s="18">
        <f>SUBTOTAL(103,Table412[Htotal])</f>
        <v>0</v>
      </c>
    </row>
    <row r="45" spans="1:8" x14ac:dyDescent="0.2">
      <c r="A45" s="9" t="s">
        <v>58</v>
      </c>
    </row>
    <row r="47" spans="1:8" x14ac:dyDescent="0.2">
      <c r="B47" s="11" t="s">
        <v>41</v>
      </c>
      <c r="C47" s="12" t="s">
        <v>42</v>
      </c>
      <c r="D47" s="12" t="s">
        <v>43</v>
      </c>
      <c r="E47" s="12" t="s">
        <v>44</v>
      </c>
      <c r="F47" s="12" t="s">
        <v>45</v>
      </c>
      <c r="G47" s="12" t="s">
        <v>46</v>
      </c>
      <c r="H47" s="13" t="s">
        <v>47</v>
      </c>
    </row>
    <row r="48" spans="1:8" x14ac:dyDescent="0.2">
      <c r="B48" s="14" t="s">
        <v>48</v>
      </c>
      <c r="C48" s="15"/>
      <c r="D48" s="15"/>
      <c r="E48" s="15"/>
      <c r="F48" s="15"/>
      <c r="G48" s="15"/>
      <c r="H48" s="16"/>
    </row>
    <row r="49" spans="1:8" x14ac:dyDescent="0.2">
      <c r="B49" s="14" t="s">
        <v>49</v>
      </c>
      <c r="C49" s="15"/>
      <c r="D49" s="15"/>
      <c r="E49" s="15"/>
      <c r="F49" s="15"/>
      <c r="G49" s="15"/>
      <c r="H49" s="16"/>
    </row>
    <row r="50" spans="1:8" x14ac:dyDescent="0.2">
      <c r="B50" s="14" t="s">
        <v>50</v>
      </c>
      <c r="C50" s="15"/>
      <c r="D50" s="15"/>
      <c r="E50" s="15"/>
      <c r="F50" s="15"/>
      <c r="G50" s="15"/>
      <c r="H50" s="16"/>
    </row>
    <row r="51" spans="1:8" x14ac:dyDescent="0.2">
      <c r="B51" s="14" t="s">
        <v>51</v>
      </c>
      <c r="C51" s="15"/>
      <c r="D51" s="15"/>
      <c r="E51" s="15"/>
      <c r="F51" s="15"/>
      <c r="G51" s="15"/>
      <c r="H51" s="16"/>
    </row>
    <row r="52" spans="1:8" x14ac:dyDescent="0.2">
      <c r="B52" s="14" t="s">
        <v>52</v>
      </c>
      <c r="C52" s="15"/>
      <c r="D52" s="15"/>
      <c r="E52" s="15"/>
      <c r="F52" s="15"/>
      <c r="G52" s="15"/>
      <c r="H52" s="16"/>
    </row>
    <row r="53" spans="1:8" x14ac:dyDescent="0.2">
      <c r="B53" s="14" t="s">
        <v>53</v>
      </c>
      <c r="C53" s="15"/>
      <c r="D53" s="15"/>
      <c r="E53" s="15"/>
      <c r="F53" s="15"/>
      <c r="G53" s="15"/>
      <c r="H53" s="16"/>
    </row>
    <row r="54" spans="1:8" x14ac:dyDescent="0.2">
      <c r="B54" s="14" t="s">
        <v>54</v>
      </c>
      <c r="C54" s="15"/>
      <c r="D54" s="15"/>
      <c r="E54" s="15"/>
      <c r="F54" s="15"/>
      <c r="G54" s="15"/>
      <c r="H54" s="16"/>
    </row>
    <row r="55" spans="1:8" x14ac:dyDescent="0.2">
      <c r="B55" s="14" t="s">
        <v>55</v>
      </c>
      <c r="C55" s="17"/>
      <c r="D55" s="17"/>
      <c r="E55" s="17"/>
      <c r="F55" s="17"/>
      <c r="G55" s="17"/>
      <c r="H55" s="18"/>
    </row>
    <row r="56" spans="1:8" x14ac:dyDescent="0.2">
      <c r="B56" s="19" t="s">
        <v>24</v>
      </c>
      <c r="C56" s="17"/>
      <c r="D56" s="17"/>
      <c r="E56" s="17"/>
      <c r="F56" s="17"/>
      <c r="G56" s="17"/>
      <c r="H56" s="18">
        <f>SUBTOTAL(103,Table46[Htotal])</f>
        <v>0</v>
      </c>
    </row>
    <row r="58" spans="1:8" ht="18.75" x14ac:dyDescent="0.2">
      <c r="A58" s="20" t="s">
        <v>59</v>
      </c>
    </row>
    <row r="60" spans="1:8" x14ac:dyDescent="0.2">
      <c r="C60" s="21" t="s">
        <v>60</v>
      </c>
      <c r="D60" s="22" t="s">
        <v>42</v>
      </c>
      <c r="E60" s="22" t="s">
        <v>43</v>
      </c>
      <c r="F60" s="22" t="s">
        <v>44</v>
      </c>
      <c r="G60" s="22" t="s">
        <v>45</v>
      </c>
    </row>
    <row r="61" spans="1:8" x14ac:dyDescent="0.2">
      <c r="C61" s="23" t="s">
        <v>61</v>
      </c>
      <c r="D61" s="24" t="s">
        <v>62</v>
      </c>
      <c r="E61" s="25" t="s">
        <v>63</v>
      </c>
      <c r="F61" s="26" t="s">
        <v>64</v>
      </c>
      <c r="G61" s="27" t="s">
        <v>65</v>
      </c>
    </row>
    <row r="62" spans="1:8" x14ac:dyDescent="0.2">
      <c r="C62" s="28"/>
      <c r="D62" s="24"/>
      <c r="E62" s="25"/>
      <c r="F62" s="26"/>
      <c r="G62" s="27"/>
    </row>
    <row r="63" spans="1:8" x14ac:dyDescent="0.2">
      <c r="C63" s="28"/>
      <c r="D63" s="24"/>
      <c r="E63" s="25"/>
      <c r="F63" s="26"/>
      <c r="G63" s="27"/>
    </row>
    <row r="64" spans="1:8" x14ac:dyDescent="0.2">
      <c r="C64" s="28"/>
      <c r="D64" s="24"/>
      <c r="E64" s="25"/>
      <c r="F64" s="26"/>
      <c r="G64" s="27"/>
    </row>
    <row r="65" spans="3:7" x14ac:dyDescent="0.2">
      <c r="C65" s="28"/>
      <c r="D65" s="24"/>
      <c r="E65" s="25"/>
      <c r="F65" s="26"/>
      <c r="G65" s="27"/>
    </row>
    <row r="66" spans="3:7" x14ac:dyDescent="0.2">
      <c r="C66" s="28"/>
      <c r="D66" s="24"/>
      <c r="E66" s="25"/>
      <c r="F66" s="26"/>
      <c r="G66" s="27"/>
    </row>
    <row r="67" spans="3:7" x14ac:dyDescent="0.2">
      <c r="C67" s="28"/>
      <c r="D67" s="24"/>
      <c r="E67" s="25"/>
      <c r="F67" s="26"/>
      <c r="G67" s="27"/>
    </row>
    <row r="68" spans="3:7" x14ac:dyDescent="0.2">
      <c r="C68" s="28"/>
      <c r="D68" s="24"/>
      <c r="E68" s="25"/>
      <c r="F68" s="26"/>
      <c r="G68" s="27"/>
    </row>
    <row r="69" spans="3:7" x14ac:dyDescent="0.2">
      <c r="C69" s="28"/>
      <c r="D69" s="24"/>
      <c r="E69" s="25"/>
      <c r="F69" s="26"/>
      <c r="G69" s="27"/>
    </row>
    <row r="70" spans="3:7" x14ac:dyDescent="0.2">
      <c r="C70" s="29"/>
      <c r="D70" s="24"/>
      <c r="E70" s="25"/>
      <c r="F70" s="30"/>
      <c r="G70" s="27"/>
    </row>
  </sheetData>
  <mergeCells count="2">
    <mergeCell ref="A1:K1"/>
    <mergeCell ref="A3:K3"/>
  </mergeCells>
  <pageMargins left="0.19791666666666666" right="0.19791666666666666" top="0.98958333333333337" bottom="0.78740157480314965" header="0" footer="0.19685039370078741"/>
  <pageSetup paperSize="9" scale="95" orientation="portrait" r:id="rId1"/>
  <headerFooter>
    <oddHeader xml:space="preserve">&amp;L&amp;8&amp;G&amp;R&amp;8&amp;K7030A0Type/Client:&amp;K000000 itrust consulting s.à r.l.&amp;K7030A0
 Project/Domain: &amp;K000000Name  &amp;K7030A0
 Title: &amp;K000000Title &amp;K7030A0
 Classification:&amp;K000000 Internal </oddHeader>
    <oddFooter>&amp;L&amp;8&amp;F&amp;C&amp;8&amp;D - &amp;T&amp;R&amp;8&amp;A - &amp;P/&amp;N</oddFooter>
  </headerFooter>
  <drawing r:id="rId2"/>
  <legacyDrawingHF r:id="rId3"/>
  <tableParts count="5"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Hist</vt:lpstr>
      <vt:lpstr>Structure</vt:lpstr>
      <vt:lpstr>Table examples</vt:lpstr>
      <vt:lpstr>Pivot table example</vt:lpstr>
      <vt:lpstr>Example</vt:lpstr>
      <vt:lpstr>Example!Print_Area</vt:lpstr>
      <vt:lpstr>'Table examples'!Print_Area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Carlo Harpes</cp:lastModifiedBy>
  <cp:lastPrinted>2019-01-23T14:43:49Z</cp:lastPrinted>
  <dcterms:created xsi:type="dcterms:W3CDTF">2008-06-07T09:53:51Z</dcterms:created>
  <dcterms:modified xsi:type="dcterms:W3CDTF">2019-01-23T14:43:54Z</dcterms:modified>
</cp:coreProperties>
</file>