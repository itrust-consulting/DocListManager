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G:\MG\ISMS\STA-PLA\I100 ISMS\Hist\"/>
    </mc:Choice>
  </mc:AlternateContent>
  <xr:revisionPtr revIDLastSave="0" documentId="13_ncr:1_{D151EED2-B84F-4DE0-A9E3-85EB33D3F073}" xr6:coauthVersionLast="36" xr6:coauthVersionMax="40" xr10:uidLastSave="{00000000-0000-0000-0000-000000000000}"/>
  <bookViews>
    <workbookView xWindow="0" yWindow="0" windowWidth="23040" windowHeight="8484" tabRatio="733" activeTab="2" xr2:uid="{00000000-000D-0000-FFFF-FFFF00000000}"/>
  </bookViews>
  <sheets>
    <sheet name="Hist" sheetId="3" r:id="rId1"/>
    <sheet name="Structure" sheetId="17" r:id="rId2"/>
    <sheet name="Table examples" sheetId="34" r:id="rId3"/>
    <sheet name="Pivot table example" sheetId="36" r:id="rId4"/>
    <sheet name="Example" sheetId="26" state="hidden" r:id="rId5"/>
  </sheets>
  <definedNames>
    <definedName name="_xlcn.WorksheetConnection_STA_I173_ITRXlsTempl_v1.1.1cha.xlsmTable31" hidden="1">Table3[]</definedName>
    <definedName name="Alex" localSheetId="2">#REF!</definedName>
    <definedName name="Alex">#REF!</definedName>
    <definedName name="_xlnm.Print_Area" localSheetId="4">Example!$A$1:$K$71</definedName>
    <definedName name="_xlnm.Print_Area" localSheetId="2">'Table examples'!$A$17:$E$46</definedName>
  </definedNames>
  <calcPr calcId="191029"/>
  <pivotCaches>
    <pivotCache cacheId="1" r:id="rId6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34" l="1"/>
  <c r="E62" i="34"/>
  <c r="E15" i="34"/>
  <c r="E54" i="34"/>
  <c r="E46" i="34" l="1"/>
  <c r="E38" i="34"/>
  <c r="E30" i="34"/>
  <c r="E23" i="34"/>
  <c r="H56" i="26"/>
  <c r="H44" i="26"/>
  <c r="H31" i="26"/>
  <c r="H1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sharedStrings.xml><?xml version="1.0" encoding="utf-8"?>
<sst xmlns="http://schemas.openxmlformats.org/spreadsheetml/2006/main" count="236" uniqueCount="108">
  <si>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</si>
  <si>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</si>
  <si>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</si>
  <si>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</si>
  <si>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</si>
  <si>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</si>
  <si>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</si>
  <si>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</si>
  <si>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</si>
  <si>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</si>
  <si>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</si>
  <si>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</si>
  <si>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</si>
  <si>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</si>
  <si>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</si>
  <si>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</si>
  <si>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</si>
  <si>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</si>
  <si>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Organisation</t>
  </si>
  <si>
    <t>1.0</t>
  </si>
  <si>
    <t>Contents</t>
  </si>
  <si>
    <t>Comments</t>
  </si>
  <si>
    <t>General information</t>
  </si>
  <si>
    <t>Final</t>
  </si>
  <si>
    <t>Total</t>
  </si>
  <si>
    <t>Working group</t>
  </si>
  <si>
    <t>Name(s)</t>
  </si>
  <si>
    <t>Distribution list</t>
  </si>
  <si>
    <t>Intranet</t>
  </si>
  <si>
    <t>CISO</t>
  </si>
  <si>
    <t>Managing Director</t>
  </si>
  <si>
    <t>Document history</t>
  </si>
  <si>
    <t>ISMS team members</t>
  </si>
  <si>
    <t>Tab name</t>
  </si>
  <si>
    <t>See printed version managed by the CISO.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</si>
  <si>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</si>
  <si>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</si>
  <si>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</si>
  <si>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</si>
  <si>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</si>
  <si>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</si>
  <si>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</si>
  <si>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</si>
  <si>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</si>
  <si>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</si>
  <si>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</si>
  <si>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</si>
  <si>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</si>
  <si>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</si>
  <si>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</si>
  <si>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</si>
  <si>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</si>
  <si>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</si>
  <si>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</si>
  <si>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</si>
  <si>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</si>
  <si>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</si>
  <si>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</si>
  <si>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</si>
  <si>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</si>
  <si>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</si>
  <si>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</si>
  <si>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</si>
  <si>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</si>
  <si>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</si>
  <si>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</si>
  <si>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</si>
  <si>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Column2</t>
  </si>
  <si>
    <t>Column3</t>
  </si>
  <si>
    <t>Column4</t>
  </si>
  <si>
    <t>Column5</t>
  </si>
  <si>
    <t>This tab explains the content of all tabl in this worksheet.</t>
  </si>
  <si>
    <t>Excel template (ITR-XlsTempl)</t>
  </si>
  <si>
    <t>Document creation as extract form ITR-AssetInventory v2.9</t>
  </si>
  <si>
    <t>1.1</t>
  </si>
  <si>
    <t>Rename tables styles without itrust and refer to theme colors</t>
  </si>
  <si>
    <t>Style: Table_1</t>
  </si>
  <si>
    <t>Style: Table_2</t>
  </si>
  <si>
    <t>Style: Table_3</t>
  </si>
  <si>
    <t>Style: Table_4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</si>
  <si>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</si>
  <si>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</si>
  <si>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</si>
  <si>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</si>
  <si>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</si>
  <si>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</si>
  <si>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</si>
  <si>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</si>
  <si>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</si>
  <si>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</si>
  <si>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</si>
  <si>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</si>
  <si>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</si>
  <si>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rrrr</t>
  </si>
  <si>
    <t>Sum of rrrr</t>
  </si>
  <si>
    <t>Count of Comments</t>
  </si>
  <si>
    <t>1.2</t>
  </si>
  <si>
    <t>I. Senft</t>
  </si>
  <si>
    <t>Delete itrust table styles or rename to Table_*
Add Pivot Table Style and changed Theme
Review Header</t>
  </si>
  <si>
    <t>Reference</t>
  </si>
  <si>
    <t>Application date</t>
  </si>
  <si>
    <t>01-7-C</t>
  </si>
  <si>
    <t>1.3</t>
  </si>
  <si>
    <t>Style: Table_B2</t>
  </si>
  <si>
    <t>Style: Table_5</t>
  </si>
  <si>
    <t>Style: Table_6</t>
  </si>
  <si>
    <t>Style: Table_B1</t>
  </si>
  <si>
    <t>New themes applied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</si>
</sst>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8"/>
      <color theme="1"/>
      <name val="Corbel"/>
      <family val="2"/>
      <scheme val="minor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">
    <xf numFmtId="0" fontId="0" fillId="0" borderId="0"/>
    <xf numFmtId="0" fontId="14" fillId="10" borderId="1" applyNumberFormat="0" applyProtection="0">
      <alignment horizontal="center" vertical="center"/>
    </xf>
    <xf numFmtId="0" fontId="15" fillId="5" borderId="1" applyNumberFormat="0" applyProtection="0">
      <alignment horizontal="center" vertical="center"/>
    </xf>
    <xf numFmtId="0" fontId="16" fillId="6" borderId="1" applyNumberFormat="0" applyProtection="0">
      <alignment horizontal="left" vertical="center" indent="1"/>
    </xf>
    <xf numFmtId="0" fontId="17" fillId="7" borderId="13" applyNumberFormat="0" applyProtection="0">
      <alignment horizontal="left" vertical="center" indent="1"/>
    </xf>
    <xf numFmtId="0" fontId="18" fillId="0" borderId="0" applyFill="0" applyBorder="0" applyProtection="0">
      <alignment horizontal="left" vertical="top" wrapText="1" indent="1"/>
    </xf>
    <xf numFmtId="0" fontId="12" fillId="0" borderId="0" applyNumberFormat="0" applyFill="0" applyBorder="0" applyAlignment="0" applyProtection="0"/>
    <xf numFmtId="0" fontId="13" fillId="0" borderId="14" applyNumberFormat="0" applyFill="0" applyAlignment="0" applyProtection="0"/>
  </cellStyleXfs>
  <cellXfs count="95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3" fillId="0" borderId="12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5" fillId="5" borderId="1" xfId="2" applyAlignment="1">
      <alignment vertical="center"/>
    </xf>
    <xf numFmtId="0" fontId="17" fillId="7" borderId="13" xfId="4" applyAlignment="1">
      <alignment horizontal="center" vertical="center"/>
    </xf>
    <xf numFmtId="0" fontId="18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0" fillId="0" borderId="0" xfId="0"/>
    <xf numFmtId="0" fontId="18" fillId="0" borderId="2" xfId="5" applyBorder="1">
      <alignment horizontal="left" vertical="top" wrapText="1" indent="1"/>
    </xf>
    <xf numFmtId="0" fontId="18" fillId="0" borderId="1" xfId="5" applyFill="1" applyBorder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14" fontId="11" fillId="0" borderId="2" xfId="0" applyNumberFormat="1" applyFont="1" applyBorder="1" applyAlignment="1">
      <alignment horizontal="left" vertical="center" indent="1"/>
    </xf>
    <xf numFmtId="0" fontId="1" fillId="0" borderId="1" xfId="5" applyFont="1" applyBorder="1">
      <alignment horizontal="left" vertical="top" wrapText="1" indent="1"/>
    </xf>
    <xf numFmtId="0" fontId="16" fillId="0" borderId="1" xfId="3" applyFill="1" applyAlignment="1">
      <alignment horizontal="center" vertical="center"/>
    </xf>
    <xf numFmtId="0" fontId="18" fillId="0" borderId="2" xfId="5" applyBorder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8" fillId="0" borderId="2" xfId="5" applyBorder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18" fillId="0" borderId="3" xfId="5" applyBorder="1">
      <alignment horizontal="left" vertical="top" wrapText="1" indent="1"/>
    </xf>
    <xf numFmtId="0" fontId="18" fillId="0" borderId="4" xfId="5" applyBorder="1">
      <alignment horizontal="left" vertical="top" wrapText="1" indent="1"/>
    </xf>
    <xf numFmtId="0" fontId="1" fillId="0" borderId="2" xfId="5" applyFont="1" applyBorder="1">
      <alignment horizontal="left" vertical="top" wrapText="1" indent="1"/>
    </xf>
    <xf numFmtId="0" fontId="5" fillId="0" borderId="0" xfId="0" applyFont="1" applyBorder="1" applyAlignment="1">
      <alignment horizontal="left" vertical="center"/>
    </xf>
    <xf numFmtId="0" fontId="16" fillId="6" borderId="1" xfId="3" applyAlignment="1">
      <alignment horizontal="center" vertical="center"/>
    </xf>
    <xf numFmtId="0" fontId="17" fillId="7" borderId="2" xfId="4" applyBorder="1" applyAlignment="1">
      <alignment horizontal="center" vertical="center"/>
    </xf>
    <xf numFmtId="0" fontId="17" fillId="7" borderId="3" xfId="4" applyBorder="1" applyAlignment="1">
      <alignment horizontal="center" vertical="center"/>
    </xf>
    <xf numFmtId="0" fontId="17" fillId="7" borderId="4" xfId="4" applyBorder="1" applyAlignment="1">
      <alignment horizontal="center" vertical="center"/>
    </xf>
    <xf numFmtId="0" fontId="17" fillId="7" borderId="13" xfId="4" applyAlignment="1">
      <alignment horizontal="center" vertical="center"/>
    </xf>
    <xf numFmtId="0" fontId="18" fillId="0" borderId="1" xfId="5" applyFill="1" applyBorder="1">
      <alignment horizontal="left" vertical="top" wrapText="1" indent="1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17" fillId="7" borderId="13" xfId="4" applyBorder="1" applyAlignment="1">
      <alignment horizontal="left" vertical="center" indent="1"/>
    </xf>
    <xf numFmtId="14" fontId="18" fillId="0" borderId="0" xfId="5" applyNumberFormat="1" applyBorder="1">
      <alignment horizontal="left" vertical="top" wrapText="1" indent="1"/>
    </xf>
    <xf numFmtId="14" fontId="18" fillId="0" borderId="11" xfId="5" applyNumberFormat="1" applyBorder="1">
      <alignment horizontal="left" vertical="top" wrapText="1" indent="1"/>
    </xf>
    <xf numFmtId="0" fontId="17" fillId="7" borderId="5" xfId="4" applyBorder="1" applyAlignment="1">
      <alignment horizontal="left" vertical="center" indent="1"/>
    </xf>
    <xf numFmtId="0" fontId="1" fillId="0" borderId="9" xfId="5" applyFont="1" applyBorder="1">
      <alignment horizontal="left" vertical="top" wrapText="1" indent="1"/>
    </xf>
    <xf numFmtId="0" fontId="18" fillId="0" borderId="9" xfId="5" applyBorder="1">
      <alignment horizontal="left" vertical="top" wrapText="1" indent="1"/>
    </xf>
    <xf numFmtId="0" fontId="18" fillId="0" borderId="10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0" fontId="18" fillId="0" borderId="2" xfId="5" applyFill="1" applyBorder="1">
      <alignment horizontal="left" vertical="top" wrapText="1" indent="1"/>
    </xf>
    <xf numFmtId="0" fontId="18" fillId="0" borderId="3" xfId="5" applyFill="1" applyBorder="1">
      <alignment horizontal="left" vertical="top" wrapText="1" indent="1"/>
    </xf>
    <xf numFmtId="0" fontId="18" fillId="0" borderId="4" xfId="5" applyFill="1" applyBorder="1">
      <alignment horizontal="left" vertical="top" wrapText="1" indent="1"/>
    </xf>
    <xf numFmtId="0" fontId="3" fillId="0" borderId="0" xfId="0" applyFont="1" applyBorder="1" applyAlignment="1">
      <alignment horizontal="left" vertical="center"/>
    </xf>
    <xf numFmtId="0" fontId="1" fillId="0" borderId="0" xfId="5" applyFont="1" applyBorder="1">
      <alignment horizontal="left" vertical="top" wrapText="1" indent="1"/>
    </xf>
    <xf numFmtId="0" fontId="18" fillId="0" borderId="0" xfId="5" applyBorder="1">
      <alignment horizontal="left" vertical="top" wrapText="1" indent="1"/>
    </xf>
    <xf numFmtId="0" fontId="18" fillId="0" borderId="11" xfId="5" applyBorder="1">
      <alignment horizontal="left" vertical="top" wrapText="1" indent="1"/>
    </xf>
    <xf numFmtId="0" fontId="14" fillId="10" borderId="1" xfId="1">
      <alignment horizontal="center" vertical="center"/>
    </xf>
    <xf numFmtId="0" fontId="15" fillId="5" borderId="1" xfId="2">
      <alignment horizontal="center" vertical="center"/>
    </xf>
    <xf numFmtId="0" fontId="3" fillId="0" borderId="0" xfId="0" applyFont="1" applyAlignment="1">
      <alignment horizontal="center" vertical="center"/>
    </xf>
    <xf numFmtId="0" fontId="16" fillId="6" borderId="1" xfId="3">
      <alignment horizontal="left" vertical="center" indent="1"/>
    </xf>
    <xf numFmtId="0" fontId="14" fillId="8" borderId="1" xfId="1" applyFill="1" applyBorder="1" applyAlignment="1">
      <alignment horizontal="center" vertical="center"/>
    </xf>
    <xf numFmtId="0" fontId="14" fillId="3" borderId="1" xfId="1" applyFill="1" applyBorder="1" applyAlignment="1">
      <alignment horizontal="center" vertical="center"/>
    </xf>
    <xf numFmtId="0" fontId="14" fillId="4" borderId="1" xfId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2" borderId="1" xfId="2" applyFill="1" applyAlignment="1">
      <alignment horizontal="center" vertical="center"/>
    </xf>
    <xf numFmtId="0" fontId="14" fillId="9" borderId="1" xfId="1" applyFill="1" applyBorder="1" applyAlignment="1">
      <alignment horizontal="center" vertical="center"/>
    </xf>
    <xf numFmtId="0" fontId="14" fillId="11" borderId="1" xfId="1" applyFill="1" applyBorder="1" applyAlignment="1">
      <alignment horizontal="center" vertical="center"/>
    </xf>
    <xf numFmtId="0" fontId="14" fillId="12" borderId="1" xfId="1" applyFill="1" applyBorder="1" applyAlignment="1">
      <alignment horizontal="center" vertical="center"/>
    </xf>
    <xf numFmtId="0" fontId="14" fillId="13" borderId="1" xfId="1" applyFill="1" applyBorder="1" applyAlignment="1">
      <alignment horizontal="center" vertical="center"/>
    </xf>
    <xf numFmtId="0" fontId="14" fillId="14" borderId="1" xfId="1" applyFill="1" applyBorder="1" applyAlignment="1">
      <alignment horizontal="center" vertical="center"/>
    </xf>
  </cellXfs>
  <cellStyles count="8">
    <cellStyle name="Cell-Normal" xfId="5" xr:uid="{00000000-0005-0000-0000-000000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6" builtinId="15" hidden="1"/>
    <cellStyle name="Total" xfId="7" builtinId="25" hidden="1"/>
  </cellStyles>
  <dxfs count="169"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68"/>
      <tableStyleElement type="totalRow" dxfId="167"/>
      <tableStyleElement type="firstColumn" dxfId="166"/>
      <tableStyleElement type="lastColumn" dxfId="165"/>
      <tableStyleElement type="firstSubtotalColumn" dxfId="164"/>
      <tableStyleElement type="secondSubtotalColumn" dxfId="163"/>
      <tableStyleElement type="firstSubtotalRow" dxfId="162"/>
      <tableStyleElement type="secondSubtotalRow" dxfId="161"/>
      <tableStyleElement type="firstColumnSubheading" dxfId="160"/>
      <tableStyleElement type="secondColumnSubheading" dxfId="159"/>
      <tableStyleElement type="firstRowSubheading" dxfId="158"/>
      <tableStyleElement type="secondRowSubheading" dxfId="157"/>
      <tableStyleElement type="thirdRowSubheading" dxfId="156"/>
      <tableStyleElement type="pageFieldLabels" dxfId="155"/>
    </tableStyle>
    <tableStyle name="Table_1" pivot="0" count="7" xr9:uid="{00000000-0011-0000-FFFF-FFFF04000000}">
      <tableStyleElement type="wholeTable" dxfId="154"/>
      <tableStyleElement type="headerRow" dxfId="153"/>
      <tableStyleElement type="totalRow" dxfId="152"/>
      <tableStyleElement type="firstColumn" dxfId="151"/>
      <tableStyleElement type="lastColumn" dxfId="150"/>
      <tableStyleElement type="secondRowStripe" dxfId="149"/>
      <tableStyleElement type="firstColumnStripe" dxfId="148"/>
    </tableStyle>
    <tableStyle name="Table_2" pivot="0" count="7" xr9:uid="{00000000-0011-0000-FFFF-FFFF00000000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secondRowStripe" dxfId="142"/>
      <tableStyleElement type="firstColumnStripe" dxfId="141"/>
    </tableStyle>
    <tableStyle name="Table_3" pivot="0" count="7" xr9:uid="{00000000-0011-0000-FFFF-FFFF01000000}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secondRowStripe" dxfId="135"/>
      <tableStyleElement type="firstColumnStripe" dxfId="134"/>
    </tableStyle>
    <tableStyle name="Table_4" pivot="0" count="8" xr9:uid="{00000000-0011-0000-FFFF-FFFF02000000}">
      <tableStyleElement type="wholeTable" dxfId="133"/>
      <tableStyleElement type="headerRow" dxfId="132"/>
      <tableStyleElement type="totalRow" dxfId="131"/>
      <tableStyleElement type="firstColumn" dxfId="130"/>
      <tableStyleElement type="lastColumn" dxfId="129"/>
      <tableStyleElement type="secondRowStripe" dxfId="128"/>
      <tableStyleElement type="firstColumnStripe" dxfId="127"/>
      <tableStyleElement type="secondColumnStripe" dxfId="126"/>
    </tableStyle>
    <tableStyle name="Table_5" pivot="0" count="7" xr9:uid="{288A2F39-F8C3-41A8-8C0A-250B6EDA9266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secondRowStripe" dxfId="19"/>
      <tableStyleElement type="firstColumnStripe" dxfId="18"/>
    </tableStyle>
    <tableStyle name="Table_6" pivot="0" count="7" xr9:uid="{92679619-5CE3-4163-A09C-BE8399647A9B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secondRowStripe" dxfId="12"/>
      <tableStyleElement type="firstColumnStripe" dxfId="11"/>
    </tableStyle>
    <tableStyle name="Table_B1" pivot="0" count="8" xr9:uid="{D25C43D6-AF28-4C9B-8C2A-602AEEF2492E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secondRowStripe" dxfId="5"/>
      <tableStyleElement type="firstColumnStripe" dxfId="4"/>
      <tableStyleElement type="secondColumnStripe" dxfId="3"/>
    </tableStyle>
    <tableStyle name="Table_B2" pivot="0" count="9" xr9:uid="{5B5A6AAA-A4F0-4B53-A8ED-7DD903B2BB95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secondRowStripe" dxfId="27"/>
      <tableStyleElement type="firstColumnStripe" dxfId="26"/>
      <tableStyleElement type="secondColumnStripe" dxfId="25"/>
    </tableStyle>
    <tableStyle name="Table_LM4" pivot="0" count="7" xr9:uid="{00000000-0011-0000-FFFF-FFFF03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8" totalsRowShown="0" headerRowDxfId="118" headerRowCellStyle="Heading 3" dataCellStyle="Cell-Normal">
  <autoFilter ref="A1:D8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rrrr" dataCellStyle="Cell-Normal"/>
  </tableColumns>
  <tableStyleInfo name="Table_1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e2026" displayName="Table2026" ref="A18:E23" totalsRowCount="1" headerRowDxfId="117" headerRowCellStyle="Cell-Normal" dataCellStyle="Cell-Normal" totalsRowCellStyle="Cell-Normal">
  <autoFilter ref="A18:E22" xr:uid="{00000000-0009-0000-0100-000019000000}"/>
  <tableColumns count="5">
    <tableColumn id="1" xr3:uid="{00000000-0010-0000-0100-000001000000}" name="Column1" totalsRowLabel="Total" dataCellStyle="Cell-Normal" totalsRowCellStyle="Cell-Normal"/>
    <tableColumn id="2" xr3:uid="{00000000-0010-0000-0100-000002000000}" name="Column2" dataCellStyle="Cell-Normal" totalsRowCellStyle="Cell-Normal"/>
    <tableColumn id="3" xr3:uid="{00000000-0010-0000-0100-000003000000}" name="Column3" dataCellStyle="Cell-Normal" totalsRowCellStyle="Cell-Normal"/>
    <tableColumn id="4" xr3:uid="{00000000-0010-0000-0100-000004000000}" name="Column4" dataCellStyle="Cell-Normal" totalsRowCellStyle="Cell-Normal"/>
    <tableColumn id="5" xr3:uid="{00000000-0010-0000-0100-000005000000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2127" displayName="Table2127" ref="A26:E30" totalsRowCount="1">
  <autoFilter ref="A26:E29" xr:uid="{00000000-0009-0000-0100-00001A000000}"/>
  <tableColumns count="5">
    <tableColumn id="1" xr3:uid="{00000000-0010-0000-0200-000001000000}" name="Column1" totalsRowLabel="Total" dataCellStyle="Cell-Normal" totalsRowCellStyle="Cell-Normal"/>
    <tableColumn id="2" xr3:uid="{00000000-0010-0000-0200-000002000000}" name="Column2" dataCellStyle="Cell-Normal" totalsRowCellStyle="Cell-Normal"/>
    <tableColumn id="3" xr3:uid="{00000000-0010-0000-0200-000003000000}" name="Column3" dataCellStyle="Cell-Normal" totalsRowCellStyle="Cell-Normal"/>
    <tableColumn id="4" xr3:uid="{00000000-0010-0000-0200-000004000000}" name="Column4" dataCellStyle="Cell-Normal" totalsRowCellStyle="Cell-Normal"/>
    <tableColumn id="5" xr3:uid="{00000000-0010-0000-0200-000005000000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3000000}" name="Table2228" displayName="Table2228" ref="A33:E38" totalsRowCount="1">
  <autoFilter ref="A33:E37" xr:uid="{00000000-0009-0000-0100-00001B000000}"/>
  <tableColumns count="5">
    <tableColumn id="1" xr3:uid="{00000000-0010-0000-0300-000001000000}" name="Column1" totalsRowLabel="Total" dataCellStyle="Cell-Normal" totalsRowCellStyle="Cell-Normal"/>
    <tableColumn id="2" xr3:uid="{00000000-0010-0000-0300-000002000000}" name="Column2" dataCellStyle="Cell-Normal" totalsRowCellStyle="Cell-Normal"/>
    <tableColumn id="3" xr3:uid="{00000000-0010-0000-0300-000003000000}" name="Column3" dataCellStyle="Cell-Normal" totalsRowCellStyle="Cell-Normal"/>
    <tableColumn id="4" xr3:uid="{00000000-0010-0000-0300-000004000000}" name="Column4" dataCellStyle="Cell-Normal" totalsRowCellStyle="Cell-Normal"/>
    <tableColumn id="5" xr3:uid="{00000000-0010-0000-0300-000005000000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4000000}" name="Table2329" displayName="Table2329" ref="A41:E46" totalsRowCount="1">
  <autoFilter ref="A41:E45" xr:uid="{00000000-0009-0000-0100-00001C000000}"/>
  <tableColumns count="5">
    <tableColumn id="1" xr3:uid="{00000000-0010-0000-0400-000001000000}" name="Column1" totalsRowLabel="Total" dataCellStyle="Cell-Normal" totalsRowCellStyle="Cell-Normal"/>
    <tableColumn id="2" xr3:uid="{00000000-0010-0000-0400-000002000000}" name="Column2" dataCellStyle="Cell-Normal" totalsRowCellStyle="Cell-Normal"/>
    <tableColumn id="3" xr3:uid="{00000000-0010-0000-0400-000003000000}" name="Column3" dataCellStyle="Cell-Normal" totalsRowCellStyle="Cell-Normal"/>
    <tableColumn id="4" xr3:uid="{00000000-0010-0000-0400-000004000000}" name="Column4" dataCellStyle="Cell-Normal" totalsRowCellStyle="Cell-Normal"/>
    <tableColumn id="5" xr3:uid="{00000000-0010-0000-0400-000005000000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1A3A8-09A9-4603-92CD-1853A47CF506}" name="Table23292" displayName="Table23292" ref="A49:E54" totalsRowCount="1">
  <autoFilter ref="A49:E53" xr:uid="{50708A06-FE38-4D33-8C4B-A7292148B6B8}"/>
  <tableColumns count="5">
    <tableColumn id="1" xr3:uid="{0AD48031-DF2D-488B-9590-9B4321DDD2E0}" name="Column1" totalsRowLabel="Total" dataCellStyle="Cell-Normal" totalsRowCellStyle="Cell-Normal"/>
    <tableColumn id="2" xr3:uid="{C3EE551F-B3D5-4BCB-9970-115190A3756A}" name="Column2" dataCellStyle="Cell-Normal" totalsRowCellStyle="Cell-Normal"/>
    <tableColumn id="3" xr3:uid="{EBDBA4F7-838D-4452-8CDF-A7768C9A23A5}" name="Column3" dataCellStyle="Cell-Normal" totalsRowCellStyle="Cell-Normal"/>
    <tableColumn id="4" xr3:uid="{9F829467-5DE3-4FFF-A3AD-48F5EF2AAD2C}" name="Column4" dataCellStyle="Cell-Normal" totalsRowCellStyle="Cell-Normal"/>
    <tableColumn id="5" xr3:uid="{ECF6DE2D-0ADB-460F-AB65-3E6C953D3B07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480151-A6B9-4B8E-9876-17B93CA7F28C}" name="Table232923" displayName="Table232923" ref="A10:E15" totalsRowCount="1">
  <autoFilter ref="A10:E14" xr:uid="{61DEC70C-5D08-4B47-8DB2-9993917FC66D}"/>
  <tableColumns count="5">
    <tableColumn id="1" xr3:uid="{B49E718B-2CB6-4AB9-8958-27BE1468ABDE}" name="Column1" totalsRowLabel="Total" dataCellStyle="Cell-Normal" totalsRowCellStyle="Cell-Normal"/>
    <tableColumn id="2" xr3:uid="{A980A416-4EDC-4363-B453-9D56F52A1F01}" name="Column2" dataCellStyle="Cell-Normal" totalsRowCellStyle="Cell-Normal"/>
    <tableColumn id="3" xr3:uid="{BEA0E6A1-3277-4D90-B72A-6B0A6FDD5028}" name="Column3" dataCellStyle="Cell-Normal" totalsRowCellStyle="Cell-Normal"/>
    <tableColumn id="4" xr3:uid="{9956E0B9-4D06-4743-B67A-A25C23DE9AC3}" name="Column4" dataCellStyle="Cell-Normal" totalsRowCellStyle="Cell-Normal"/>
    <tableColumn id="5" xr3:uid="{219FD25D-10AE-44A2-981F-1141A13C44A2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4185B7-E743-4AFF-BBEA-08545B67A5FA}" name="Table232925" displayName="Table232925" ref="A57:E62" totalsRowCount="1">
  <autoFilter ref="A57:E61" xr:uid="{7BFF75CF-A306-407E-AA40-F6D81BF0105C}"/>
  <tableColumns count="5">
    <tableColumn id="1" xr3:uid="{1E63E38E-EF7B-468A-9736-009E3FB6A99F}" name="Column1" totalsRowLabel="Total" dataCellStyle="Cell-Normal" totalsRowCellStyle="Cell-Normal"/>
    <tableColumn id="2" xr3:uid="{E052E2C7-7C56-4E55-9BEC-CC30EC7AD970}" name="Column2" dataCellStyle="Cell-Normal" totalsRowCellStyle="Cell-Normal"/>
    <tableColumn id="3" xr3:uid="{18463F52-8FE9-4D4C-9E2C-8D28F28CC7D7}" name="Column3" dataCellStyle="Cell-Normal" totalsRowCellStyle="Cell-Normal"/>
    <tableColumn id="4" xr3:uid="{6D9FD974-7449-49EA-93F9-301AAF820CC5}" name="Column4" dataCellStyle="Cell-Normal" totalsRowCellStyle="Cell-Normal"/>
    <tableColumn id="5" xr3:uid="{CF5A7C0E-CD1E-4F02-9930-2C3A485A4039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C77312-3816-407D-B867-11BF5CE97AE2}" name="Table2329257" displayName="Table2329257" ref="A2:E7" totalsRowCount="1">
  <autoFilter ref="A2:E6" xr:uid="{D3D362F5-E671-4FE4-A5FC-1A8FA6CDF8C2}"/>
  <tableColumns count="5">
    <tableColumn id="1" xr3:uid="{4819A747-883B-44D4-A50C-4AC0E06CA937}" name="Column1" totalsRowLabel="Total" dataCellStyle="Cell-Normal" totalsRowCellStyle="Cell-Normal"/>
    <tableColumn id="2" xr3:uid="{8E9AFB79-162A-4A9A-B92A-B67BCA5AB705}" name="Column2" dataCellStyle="Cell-Normal" totalsRowCellStyle="Cell-Normal"/>
    <tableColumn id="3" xr3:uid="{D8718BA2-8B36-4CD0-B361-12324D86729C}" name="Column3" dataCellStyle="Cell-Normal" totalsRowCellStyle="Cell-Normal"/>
    <tableColumn id="4" xr3:uid="{F558E6E3-6BA9-4C7B-91AE-BCAD826B2FF8}" name="Column4" dataCellStyle="Cell-Normal" totalsRowCellStyle="Cell-Normal"/>
    <tableColumn id="5" xr3:uid="{043FCDA0-05F7-46F6-B77A-90CCB2DF2C1D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116" dataDxfId="115" totalsRowDxfId="114">
  <autoFilter ref="B9:H17" xr:uid="{00000000-0009-0000-0100-000005000000}"/>
  <tableColumns count="7">
    <tableColumn id="1" xr3:uid="{00000000-0010-0000-0500-000001000000}" name="C1/H1" totalsRowLabel="Total" dataDxfId="113" totalsRowDxfId="112"/>
    <tableColumn id="2" xr3:uid="{00000000-0010-0000-0500-000002000000}" name="H2" dataDxfId="111" totalsRowDxfId="110"/>
    <tableColumn id="3" xr3:uid="{00000000-0010-0000-0500-000003000000}" name="H3" dataDxfId="109" totalsRowDxfId="108"/>
    <tableColumn id="4" xr3:uid="{00000000-0010-0000-0500-000004000000}" name="H4" dataDxfId="107" totalsRowDxfId="106"/>
    <tableColumn id="5" xr3:uid="{00000000-0010-0000-0500-000005000000}" name="H5" dataDxfId="105" totalsRowDxfId="104"/>
    <tableColumn id="6" xr3:uid="{00000000-0010-0000-0500-000006000000}" name="H6" dataDxfId="103" totalsRowDxfId="102"/>
    <tableColumn id="7" xr3:uid="{00000000-0010-0000-0500-000007000000}" name="Htotal" totalsRowFunction="count" dataDxfId="101" totalsRowDxfId="100"/>
  </tableColumns>
  <tableStyleInfo name="Table_1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99" dataDxfId="98" totalsRowDxfId="97">
  <autoFilter ref="B22:H30" xr:uid="{00000000-0009-0000-0100-00000A000000}"/>
  <tableColumns count="7">
    <tableColumn id="1" xr3:uid="{00000000-0010-0000-0600-000001000000}" name="C1/H1" totalsRowLabel="Total" dataDxfId="96" totalsRowDxfId="95"/>
    <tableColumn id="2" xr3:uid="{00000000-0010-0000-0600-000002000000}" name="H2" dataDxfId="94" totalsRowDxfId="93"/>
    <tableColumn id="3" xr3:uid="{00000000-0010-0000-0600-000003000000}" name="H3" dataDxfId="92" totalsRowDxfId="91"/>
    <tableColumn id="4" xr3:uid="{00000000-0010-0000-0600-000004000000}" name="H4" dataDxfId="90" totalsRowDxfId="89"/>
    <tableColumn id="5" xr3:uid="{00000000-0010-0000-0600-000005000000}" name="H5" dataDxfId="88" totalsRowDxfId="87"/>
    <tableColumn id="6" xr3:uid="{00000000-0010-0000-0600-000006000000}" name="H6" dataDxfId="86" totalsRowDxfId="85"/>
    <tableColumn id="7" xr3:uid="{00000000-0010-0000-0600-000007000000}" name="Htotal" totalsRowFunction="count" dataDxfId="84" totalsRowDxfId="83"/>
  </tableColumns>
  <tableStyleInfo name="Table_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82" dataDxfId="80" totalsRowDxfId="78" headerRowBorderDxfId="81" tableBorderDxfId="79" totalsRowBorderDxfId="77">
  <autoFilter ref="B35:H43" xr:uid="{00000000-0009-0000-0100-00000B000000}"/>
  <tableColumns count="7">
    <tableColumn id="1" xr3:uid="{00000000-0010-0000-0700-000001000000}" name="C1/H1" totalsRowLabel="Total" dataDxfId="76" totalsRowDxfId="75"/>
    <tableColumn id="2" xr3:uid="{00000000-0010-0000-0700-000002000000}" name="H2" dataDxfId="74" totalsRowDxfId="73"/>
    <tableColumn id="3" xr3:uid="{00000000-0010-0000-0700-000003000000}" name="H3" dataDxfId="72" totalsRowDxfId="71"/>
    <tableColumn id="4" xr3:uid="{00000000-0010-0000-0700-000004000000}" name="H4" dataDxfId="70" totalsRowDxfId="69"/>
    <tableColumn id="5" xr3:uid="{00000000-0010-0000-0700-000005000000}" name="H5" dataDxfId="68" totalsRowDxfId="67"/>
    <tableColumn id="6" xr3:uid="{00000000-0010-0000-0700-000006000000}" name="H6" dataDxfId="66" totalsRowDxfId="65"/>
    <tableColumn id="7" xr3:uid="{00000000-0010-0000-0700-000007000000}" name="Htotal" totalsRowFunction="count" dataDxfId="64" totalsRowDxfId="63"/>
  </tableColumns>
  <tableStyleInfo name="Table_3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62" dataDxfId="60" totalsRowDxfId="58" headerRowBorderDxfId="61" tableBorderDxfId="59" totalsRowBorderDxfId="57">
  <autoFilter ref="B47:H55" xr:uid="{00000000-0009-0000-0100-00000C000000}"/>
  <tableColumns count="7">
    <tableColumn id="1" xr3:uid="{00000000-0010-0000-0800-000001000000}" name="C1/H1" totalsRowLabel="Total" dataDxfId="56" totalsRowDxfId="55"/>
    <tableColumn id="2" xr3:uid="{00000000-0010-0000-0800-000002000000}" name="H2" dataDxfId="54" totalsRowDxfId="53"/>
    <tableColumn id="3" xr3:uid="{00000000-0010-0000-0800-000003000000}" name="H3" dataDxfId="52" totalsRowDxfId="51"/>
    <tableColumn id="4" xr3:uid="{00000000-0010-0000-0800-000004000000}" name="H4" dataDxfId="50" totalsRowDxfId="49"/>
    <tableColumn id="5" xr3:uid="{00000000-0010-0000-0800-000005000000}" name="H5" dataDxfId="48" totalsRowDxfId="47"/>
    <tableColumn id="6" xr3:uid="{00000000-0010-0000-0800-000006000000}" name="H6" dataDxfId="46" totalsRowDxfId="45"/>
    <tableColumn id="7" xr3:uid="{00000000-0010-0000-0800-000007000000}" name="Htotal" totalsRowFunction="count" dataDxfId="44" totalsRowDxfId="43"/>
  </tableColumns>
  <tableStyleInfo name="Table_4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42" dataDxfId="40" headerRowBorderDxfId="41" tableBorderDxfId="39" totalsRowBorderDxfId="38">
  <autoFilter ref="C60:G70" xr:uid="{00000000-0009-0000-0100-00000D000000}"/>
  <tableColumns count="5">
    <tableColumn id="1" xr3:uid="{00000000-0010-0000-0900-000001000000}" name="H1" dataDxfId="37"/>
    <tableColumn id="2" xr3:uid="{00000000-0010-0000-0900-000002000000}" name="H2" dataDxfId="36"/>
    <tableColumn id="3" xr3:uid="{00000000-0010-0000-0900-000003000000}" name="H3" dataDxfId="35"/>
    <tableColumn id="4" xr3:uid="{00000000-0010-0000-0900-000004000000}" name="H4" dataDxfId="34"/>
    <tableColumn id="5" xr3:uid="{00000000-0010-0000-0900-000005000000}" name="H5" dataDxfId="33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">
      <a:dk1>
        <a:sysClr val="windowText" lastClr="000000"/>
      </a:dk1>
      <a:lt1>
        <a:sysClr val="window" lastClr="FFFFFF"/>
      </a:lt1>
      <a:dk2>
        <a:srgbClr val="5F497A"/>
      </a:dk2>
      <a:lt2>
        <a:srgbClr val="FBFAFC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4"/>
  <sheetViews>
    <sheetView view="pageLayout" zoomScale="110" zoomScaleNormal="85" zoomScalePageLayoutView="110" workbookViewId="0">
      <selection activeCell="C31" sqref="C31"/>
    </sheetView>
  </sheetViews>
  <sheetFormatPr defaultColWidth="9.140625" defaultRowHeight="14.4" x14ac:dyDescent="0.2"/>
  <cols>
    <col min="1" max="1" width="12.7109375" style="2" customWidth="1"/>
    <col min="2" max="2" width="15.85546875" style="2" customWidth="1"/>
    <col min="3" max="3" width="27" style="2" customWidth="1"/>
    <col min="4" max="4" width="9.140625" style="2"/>
    <col min="5" max="5" width="19.85546875" style="2" customWidth="1"/>
    <col min="6" max="6" width="19.28515625" style="2" customWidth="1"/>
    <col min="7" max="7" width="28" style="2" customWidth="1"/>
    <col min="8" max="16384" width="9.140625" style="2"/>
  </cols>
  <sheetData>
    <row r="1" spans="1:7" ht="25.8" x14ac:dyDescent="0.2">
      <c r="A1" s="81" t="s">
        <v>17</v>
      </c>
      <c r="B1" s="81"/>
      <c r="C1" s="81"/>
      <c r="D1" s="81"/>
      <c r="E1" s="81"/>
      <c r="F1" s="81"/>
      <c r="G1" s="81"/>
    </row>
    <row r="2" spans="1:7" s="3" customFormat="1" ht="23.4" x14ac:dyDescent="0.2">
      <c r="A2" s="82" t="s">
        <v>72</v>
      </c>
      <c r="B2" s="82"/>
      <c r="C2" s="82"/>
      <c r="D2" s="82"/>
      <c r="E2" s="82"/>
      <c r="F2" s="82"/>
      <c r="G2" s="82"/>
    </row>
    <row r="3" spans="1:7" x14ac:dyDescent="0.2">
      <c r="A3" s="83"/>
      <c r="B3" s="83"/>
      <c r="C3" s="83"/>
      <c r="D3" s="83"/>
      <c r="E3" s="83"/>
      <c r="F3" s="83"/>
      <c r="G3" s="83"/>
    </row>
    <row r="4" spans="1:7" ht="19.5" customHeight="1" x14ac:dyDescent="0.2">
      <c r="A4" s="84" t="s">
        <v>22</v>
      </c>
      <c r="B4" s="84"/>
      <c r="C4" s="84"/>
      <c r="D4" s="84"/>
      <c r="E4" s="84"/>
      <c r="F4" s="84"/>
      <c r="G4" s="84"/>
    </row>
    <row r="5" spans="1:7" s="4" customFormat="1" x14ac:dyDescent="0.2">
      <c r="A5" s="66" t="s">
        <v>99</v>
      </c>
      <c r="B5" s="66"/>
      <c r="C5" s="78" t="s">
        <v>101</v>
      </c>
      <c r="D5" s="79"/>
      <c r="E5" s="79"/>
      <c r="F5" s="79"/>
      <c r="G5" s="80"/>
    </row>
    <row r="6" spans="1:7" s="4" customFormat="1" x14ac:dyDescent="0.2">
      <c r="A6" s="66" t="s">
        <v>0</v>
      </c>
      <c r="B6" s="66"/>
      <c r="C6" s="78" t="s">
        <v>102</v>
      </c>
      <c r="D6" s="79"/>
      <c r="E6" s="79"/>
      <c r="F6" s="79"/>
      <c r="G6" s="80"/>
    </row>
    <row r="7" spans="1:7" s="4" customFormat="1" x14ac:dyDescent="0.2">
      <c r="A7" s="66" t="s">
        <v>10</v>
      </c>
      <c r="B7" s="66"/>
      <c r="C7" s="79" t="s">
        <v>23</v>
      </c>
      <c r="D7" s="79"/>
      <c r="E7" s="79"/>
      <c r="F7" s="79"/>
      <c r="G7" s="80"/>
    </row>
    <row r="8" spans="1:7" s="4" customFormat="1" x14ac:dyDescent="0.2">
      <c r="A8" s="66" t="s">
        <v>9</v>
      </c>
      <c r="B8" s="66"/>
      <c r="C8" s="79" t="s">
        <v>29</v>
      </c>
      <c r="D8" s="79"/>
      <c r="E8" s="79"/>
      <c r="F8" s="79"/>
      <c r="G8" s="80"/>
    </row>
    <row r="9" spans="1:7" s="4" customFormat="1" x14ac:dyDescent="0.2">
      <c r="A9" s="66" t="s">
        <v>100</v>
      </c>
      <c r="B9" s="66"/>
      <c r="C9" s="67">
        <v>43539</v>
      </c>
      <c r="D9" s="67"/>
      <c r="E9" s="67"/>
      <c r="F9" s="67"/>
      <c r="G9" s="68"/>
    </row>
    <row r="10" spans="1:7" s="4" customFormat="1" x14ac:dyDescent="0.2">
      <c r="A10" s="69" t="s">
        <v>1</v>
      </c>
      <c r="B10" s="69"/>
      <c r="C10" s="70" t="s">
        <v>65</v>
      </c>
      <c r="D10" s="71"/>
      <c r="E10" s="71"/>
      <c r="F10" s="71"/>
      <c r="G10" s="72"/>
    </row>
    <row r="11" spans="1:7" s="4" customFormat="1" ht="13.8" x14ac:dyDescent="0.2">
      <c r="A11" s="55"/>
      <c r="B11" s="55"/>
      <c r="C11" s="55"/>
      <c r="D11" s="55"/>
      <c r="E11" s="55"/>
      <c r="F11" s="55"/>
      <c r="G11" s="55"/>
    </row>
    <row r="12" spans="1:7" ht="15.6" x14ac:dyDescent="0.2">
      <c r="A12" s="56" t="s">
        <v>25</v>
      </c>
      <c r="B12" s="56"/>
      <c r="C12" s="56"/>
      <c r="D12" s="56"/>
      <c r="E12" s="56"/>
      <c r="F12" s="56"/>
      <c r="G12" s="56"/>
    </row>
    <row r="13" spans="1:7" x14ac:dyDescent="0.2">
      <c r="A13" s="60" t="s">
        <v>26</v>
      </c>
      <c r="B13" s="60"/>
      <c r="C13" s="60"/>
      <c r="D13" s="60" t="s">
        <v>18</v>
      </c>
      <c r="E13" s="60"/>
      <c r="F13" s="60"/>
      <c r="G13" s="60"/>
    </row>
    <row r="14" spans="1:7" x14ac:dyDescent="0.2">
      <c r="A14" s="73" t="s">
        <v>11</v>
      </c>
      <c r="B14" s="73"/>
      <c r="C14" s="73"/>
      <c r="D14" s="73" t="s">
        <v>4</v>
      </c>
      <c r="E14" s="73"/>
      <c r="F14" s="73"/>
      <c r="G14" s="73"/>
    </row>
    <row r="15" spans="1:7" s="4" customFormat="1" ht="13.8" x14ac:dyDescent="0.2">
      <c r="A15" s="55"/>
      <c r="B15" s="55"/>
      <c r="C15" s="55"/>
      <c r="D15" s="55"/>
      <c r="E15" s="55"/>
      <c r="F15" s="55"/>
      <c r="G15" s="55"/>
    </row>
    <row r="16" spans="1:7" ht="15.6" x14ac:dyDescent="0.2">
      <c r="A16" s="56" t="s">
        <v>27</v>
      </c>
      <c r="B16" s="56"/>
      <c r="C16" s="56"/>
      <c r="D16" s="56"/>
      <c r="E16" s="56"/>
      <c r="F16" s="56"/>
      <c r="G16" s="56"/>
    </row>
    <row r="17" spans="1:7" x14ac:dyDescent="0.2">
      <c r="A17" s="60" t="s">
        <v>12</v>
      </c>
      <c r="B17" s="60"/>
      <c r="C17" s="32" t="s">
        <v>2</v>
      </c>
      <c r="D17" s="60" t="s">
        <v>13</v>
      </c>
      <c r="E17" s="60"/>
      <c r="F17" s="60"/>
      <c r="G17" s="60"/>
    </row>
    <row r="18" spans="1:7" x14ac:dyDescent="0.2">
      <c r="A18" s="74" t="s">
        <v>32</v>
      </c>
      <c r="B18" s="75"/>
      <c r="C18" s="1">
        <v>43449</v>
      </c>
      <c r="D18" s="74" t="s">
        <v>28</v>
      </c>
      <c r="E18" s="76"/>
      <c r="F18" s="61"/>
      <c r="G18" s="61"/>
    </row>
    <row r="19" spans="1:7" x14ac:dyDescent="0.2">
      <c r="A19" s="77"/>
      <c r="B19" s="77"/>
      <c r="C19" s="77"/>
      <c r="D19" s="77"/>
      <c r="E19" s="77"/>
      <c r="F19" s="77"/>
      <c r="G19" s="77"/>
    </row>
    <row r="20" spans="1:7" ht="15.6" x14ac:dyDescent="0.2">
      <c r="A20" s="56" t="s">
        <v>35</v>
      </c>
      <c r="B20" s="56"/>
      <c r="C20" s="56"/>
      <c r="D20" s="56"/>
      <c r="E20" s="56"/>
      <c r="F20" s="56"/>
      <c r="G20" s="56"/>
    </row>
    <row r="21" spans="1:7" x14ac:dyDescent="0.2">
      <c r="A21" s="60" t="s">
        <v>7</v>
      </c>
      <c r="B21" s="60"/>
      <c r="C21" s="32" t="s">
        <v>6</v>
      </c>
      <c r="D21" s="60" t="s">
        <v>8</v>
      </c>
      <c r="E21" s="60"/>
      <c r="F21" s="32" t="s">
        <v>2</v>
      </c>
      <c r="G21" s="32" t="s">
        <v>3</v>
      </c>
    </row>
    <row r="22" spans="1:7" ht="32.25" customHeight="1" x14ac:dyDescent="0.2">
      <c r="A22" s="62" t="s">
        <v>97</v>
      </c>
      <c r="B22" s="63"/>
      <c r="C22" s="5" t="s">
        <v>29</v>
      </c>
      <c r="D22" s="62" t="s">
        <v>14</v>
      </c>
      <c r="E22" s="64"/>
      <c r="F22" s="1">
        <v>43488</v>
      </c>
      <c r="G22" s="6" t="s">
        <v>34</v>
      </c>
    </row>
    <row r="23" spans="1:7" ht="32.25" customHeight="1" x14ac:dyDescent="0.2">
      <c r="A23" s="62" t="s">
        <v>11</v>
      </c>
      <c r="B23" s="63"/>
      <c r="C23" s="5" t="s">
        <v>30</v>
      </c>
      <c r="D23" s="62" t="s">
        <v>15</v>
      </c>
      <c r="E23" s="64"/>
      <c r="F23" s="1">
        <v>43488</v>
      </c>
      <c r="G23" s="6" t="s">
        <v>34</v>
      </c>
    </row>
    <row r="24" spans="1:7" x14ac:dyDescent="0.2">
      <c r="A24" s="65"/>
      <c r="B24" s="65"/>
      <c r="C24" s="65"/>
      <c r="D24" s="65"/>
      <c r="E24" s="65"/>
      <c r="F24" s="65"/>
      <c r="G24" s="65"/>
    </row>
    <row r="25" spans="1:7" ht="15.6" x14ac:dyDescent="0.2">
      <c r="A25" s="56" t="s">
        <v>31</v>
      </c>
      <c r="B25" s="56"/>
      <c r="C25" s="56"/>
      <c r="D25" s="56"/>
      <c r="E25" s="56"/>
      <c r="F25" s="56"/>
      <c r="G25" s="56"/>
    </row>
    <row r="26" spans="1:7" x14ac:dyDescent="0.2">
      <c r="A26" s="32" t="s">
        <v>0</v>
      </c>
      <c r="B26" s="32" t="s">
        <v>2</v>
      </c>
      <c r="C26" s="32" t="s">
        <v>5</v>
      </c>
      <c r="D26" s="57" t="s">
        <v>16</v>
      </c>
      <c r="E26" s="58"/>
      <c r="F26" s="58"/>
      <c r="G26" s="59"/>
    </row>
    <row r="27" spans="1:7" x14ac:dyDescent="0.2">
      <c r="A27" s="39" t="s">
        <v>19</v>
      </c>
      <c r="B27" s="40">
        <v>43243</v>
      </c>
      <c r="C27" s="36" t="s">
        <v>11</v>
      </c>
      <c r="D27" s="51" t="s">
        <v>73</v>
      </c>
      <c r="E27" s="52"/>
      <c r="F27" s="52"/>
      <c r="G27" s="53"/>
    </row>
    <row r="28" spans="1:7" x14ac:dyDescent="0.2">
      <c r="A28" s="41" t="s">
        <v>74</v>
      </c>
      <c r="B28" s="40">
        <v>43449</v>
      </c>
      <c r="C28" s="38" t="s">
        <v>11</v>
      </c>
      <c r="D28" s="54" t="s">
        <v>75</v>
      </c>
      <c r="E28" s="52"/>
      <c r="F28" s="52"/>
      <c r="G28" s="53"/>
    </row>
    <row r="29" spans="1:7" ht="39" customHeight="1" x14ac:dyDescent="0.2">
      <c r="A29" s="41" t="s">
        <v>96</v>
      </c>
      <c r="B29" s="40">
        <v>43488</v>
      </c>
      <c r="C29" s="50" t="s">
        <v>11</v>
      </c>
      <c r="D29" s="54" t="s">
        <v>98</v>
      </c>
      <c r="E29" s="52"/>
      <c r="F29" s="52"/>
      <c r="G29" s="53"/>
    </row>
    <row r="30" spans="1:7" x14ac:dyDescent="0.2">
      <c r="A30" s="39" t="s">
        <v>102</v>
      </c>
      <c r="B30" s="40">
        <v>43539</v>
      </c>
      <c r="C30" s="43" t="s">
        <v>97</v>
      </c>
      <c r="D30" s="51" t="s">
        <v>107</v>
      </c>
      <c r="E30" s="52"/>
      <c r="F30" s="52"/>
      <c r="G30" s="53"/>
    </row>
    <row r="31" spans="1:7" x14ac:dyDescent="0.2">
      <c r="A31" s="39"/>
      <c r="B31" s="40"/>
      <c r="C31" s="44"/>
      <c r="D31" s="51"/>
      <c r="E31" s="52"/>
      <c r="F31" s="52"/>
      <c r="G31" s="53"/>
    </row>
    <row r="32" spans="1:7" x14ac:dyDescent="0.2">
      <c r="A32" s="39"/>
      <c r="B32" s="40"/>
      <c r="C32" s="36"/>
      <c r="D32" s="51"/>
      <c r="E32" s="52"/>
      <c r="F32" s="52"/>
      <c r="G32" s="53"/>
    </row>
    <row r="33" spans="1:7" x14ac:dyDescent="0.2">
      <c r="A33" s="39"/>
      <c r="B33" s="40"/>
      <c r="C33" s="36"/>
      <c r="D33" s="51"/>
      <c r="E33" s="52"/>
      <c r="F33" s="52"/>
      <c r="G33" s="53"/>
    </row>
    <row r="34" spans="1:7" x14ac:dyDescent="0.2">
      <c r="A34" s="39"/>
      <c r="B34" s="40"/>
      <c r="C34" s="36"/>
      <c r="D34" s="51"/>
      <c r="E34" s="52"/>
      <c r="F34" s="52"/>
      <c r="G34" s="53"/>
    </row>
  </sheetData>
  <mergeCells count="49">
    <mergeCell ref="A1:G1"/>
    <mergeCell ref="A2:G2"/>
    <mergeCell ref="A3:G3"/>
    <mergeCell ref="A4:G4"/>
    <mergeCell ref="A5:B5"/>
    <mergeCell ref="C5:G5"/>
    <mergeCell ref="A6:B6"/>
    <mergeCell ref="C6:G6"/>
    <mergeCell ref="A7:B7"/>
    <mergeCell ref="C7:G7"/>
    <mergeCell ref="A8:B8"/>
    <mergeCell ref="C8:G8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D34:G34"/>
    <mergeCell ref="D29:G29"/>
    <mergeCell ref="D30:G30"/>
    <mergeCell ref="D31:G31"/>
    <mergeCell ref="D32:G32"/>
    <mergeCell ref="D33:G33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fitToHeight="100" orientation="portrait" r:id="rId1"/>
  <headerFooter>
    <oddHeader>&amp;L&amp;"Corbel,Regular"&amp;8&amp;G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8"/>
  <sheetViews>
    <sheetView view="pageLayout" zoomScale="85" zoomScaleNormal="85" zoomScalePageLayoutView="85" workbookViewId="0">
      <selection activeCell="B4" sqref="B4"/>
    </sheetView>
  </sheetViews>
  <sheetFormatPr defaultColWidth="9.140625" defaultRowHeight="14.4" x14ac:dyDescent="0.2"/>
  <cols>
    <col min="1" max="1" width="20.140625" style="2" customWidth="1"/>
    <col min="2" max="2" width="47.85546875" style="2" customWidth="1"/>
    <col min="3" max="3" width="53.42578125" style="2" customWidth="1"/>
    <col min="4" max="16384" width="9.140625" style="2"/>
  </cols>
  <sheetData>
    <row r="1" spans="1:4" ht="23.25" customHeight="1" x14ac:dyDescent="0.2">
      <c r="A1" s="42" t="s">
        <v>33</v>
      </c>
      <c r="B1" s="42" t="s">
        <v>20</v>
      </c>
      <c r="C1" s="42" t="s">
        <v>21</v>
      </c>
      <c r="D1" s="42" t="s">
        <v>93</v>
      </c>
    </row>
    <row r="2" spans="1:4" ht="27.6" x14ac:dyDescent="0.2">
      <c r="A2" s="34" t="s">
        <v>80</v>
      </c>
      <c r="B2" s="33" t="s">
        <v>71</v>
      </c>
      <c r="C2" s="33"/>
      <c r="D2" s="33">
        <v>12</v>
      </c>
    </row>
    <row r="3" spans="1:4" x14ac:dyDescent="0.2">
      <c r="A3" s="33" t="s">
        <v>81</v>
      </c>
      <c r="B3" s="33" t="s">
        <v>87</v>
      </c>
      <c r="C3" s="33" t="s">
        <v>89</v>
      </c>
      <c r="D3" s="33">
        <v>12</v>
      </c>
    </row>
    <row r="4" spans="1:4" x14ac:dyDescent="0.2">
      <c r="A4" s="34" t="s">
        <v>82</v>
      </c>
      <c r="B4" s="33" t="s">
        <v>87</v>
      </c>
      <c r="C4" s="33" t="s">
        <v>89</v>
      </c>
      <c r="D4" s="33">
        <v>22</v>
      </c>
    </row>
    <row r="5" spans="1:4" x14ac:dyDescent="0.2">
      <c r="A5" s="33" t="s">
        <v>83</v>
      </c>
      <c r="B5" s="33" t="s">
        <v>88</v>
      </c>
      <c r="C5" s="33" t="s">
        <v>89</v>
      </c>
      <c r="D5" s="33">
        <v>2</v>
      </c>
    </row>
    <row r="6" spans="1:4" x14ac:dyDescent="0.2">
      <c r="A6" s="34" t="s">
        <v>84</v>
      </c>
      <c r="B6" s="33" t="s">
        <v>88</v>
      </c>
      <c r="C6" s="33"/>
      <c r="D6" s="33">
        <v>1</v>
      </c>
    </row>
    <row r="7" spans="1:4" x14ac:dyDescent="0.2">
      <c r="A7" s="33" t="s">
        <v>85</v>
      </c>
      <c r="B7" s="33" t="s">
        <v>88</v>
      </c>
      <c r="C7" s="33"/>
      <c r="D7" s="33">
        <v>1</v>
      </c>
    </row>
    <row r="8" spans="1:4" x14ac:dyDescent="0.2">
      <c r="A8" s="34" t="s">
        <v>86</v>
      </c>
      <c r="B8" s="33" t="s">
        <v>88</v>
      </c>
      <c r="C8" s="33"/>
      <c r="D8" s="33">
        <v>212</v>
      </c>
    </row>
  </sheetData>
  <phoneticPr fontId="9" type="noConversion"/>
  <conditionalFormatting sqref="B2:B8">
    <cfRule type="cellIs" dxfId="2" priority="16" stopIfTrue="1" operator="equal">
      <formula>"Policy"</formula>
    </cfRule>
    <cfRule type="cellIs" dxfId="1" priority="17" stopIfTrue="1" operator="equal">
      <formula>"Procedure"</formula>
    </cfRule>
    <cfRule type="cellIs" dxfId="0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2"/>
  <sheetViews>
    <sheetView tabSelected="1" view="pageLayout" zoomScale="85" zoomScaleNormal="85" zoomScalePageLayoutView="85" workbookViewId="0">
      <selection activeCell="H17" sqref="H17"/>
    </sheetView>
  </sheetViews>
  <sheetFormatPr defaultColWidth="9.140625" defaultRowHeight="9" customHeight="1" x14ac:dyDescent="0.2"/>
  <cols>
    <col min="1" max="5" width="17.28515625" style="7" customWidth="1"/>
    <col min="6" max="16384" width="9.140625" style="7"/>
  </cols>
  <sheetData>
    <row r="1" spans="1:5" ht="14.4" customHeight="1" x14ac:dyDescent="0.2">
      <c r="A1" s="94" t="s">
        <v>106</v>
      </c>
      <c r="B1" s="94"/>
      <c r="C1" s="94"/>
      <c r="D1" s="94"/>
      <c r="E1" s="94"/>
    </row>
    <row r="2" spans="1:5" ht="9" customHeight="1" x14ac:dyDescent="0.2">
      <c r="A2" s="35" t="s">
        <v>66</v>
      </c>
      <c r="B2" s="35" t="s">
        <v>67</v>
      </c>
      <c r="C2" s="35" t="s">
        <v>68</v>
      </c>
      <c r="D2" s="35" t="s">
        <v>69</v>
      </c>
      <c r="E2" s="35" t="s">
        <v>70</v>
      </c>
    </row>
    <row r="3" spans="1:5" ht="9" customHeight="1" x14ac:dyDescent="0.2">
      <c r="A3" s="33"/>
      <c r="B3" s="33"/>
      <c r="C3" s="33"/>
      <c r="D3" s="33"/>
      <c r="E3" s="33"/>
    </row>
    <row r="4" spans="1:5" ht="9" customHeight="1" x14ac:dyDescent="0.2">
      <c r="A4" s="33"/>
      <c r="B4" s="33"/>
      <c r="C4" s="33"/>
      <c r="D4" s="33"/>
      <c r="E4" s="33"/>
    </row>
    <row r="5" spans="1:5" ht="9" customHeight="1" x14ac:dyDescent="0.2">
      <c r="A5" s="33"/>
      <c r="B5" s="33"/>
      <c r="C5" s="33"/>
      <c r="D5" s="33"/>
      <c r="E5" s="33"/>
    </row>
    <row r="6" spans="1:5" ht="9" customHeight="1" x14ac:dyDescent="0.2">
      <c r="A6" s="33"/>
      <c r="B6" s="33"/>
      <c r="C6" s="33"/>
      <c r="D6" s="33"/>
      <c r="E6" s="33"/>
    </row>
    <row r="7" spans="1:5" ht="9" customHeight="1" x14ac:dyDescent="0.2">
      <c r="A7" s="33" t="s">
        <v>24</v>
      </c>
      <c r="B7" s="33"/>
      <c r="C7" s="33"/>
      <c r="D7" s="33"/>
      <c r="E7" s="33">
        <f>SUBTOTAL(103,Table2329257[Column5])</f>
        <v>0</v>
      </c>
    </row>
    <row r="8" spans="1:5" ht="9" customHeight="1" x14ac:dyDescent="0.2">
      <c r="A8" s="33"/>
      <c r="B8" s="33"/>
      <c r="C8" s="33"/>
      <c r="D8" s="33"/>
      <c r="E8" s="33"/>
    </row>
    <row r="9" spans="1:5" ht="16.95" customHeight="1" x14ac:dyDescent="0.2">
      <c r="A9" s="91" t="s">
        <v>103</v>
      </c>
      <c r="B9" s="91"/>
      <c r="C9" s="91"/>
      <c r="D9" s="91"/>
      <c r="E9" s="91"/>
    </row>
    <row r="10" spans="1:5" ht="9" customHeight="1" x14ac:dyDescent="0.2">
      <c r="A10" s="35" t="s">
        <v>66</v>
      </c>
      <c r="B10" s="35" t="s">
        <v>67</v>
      </c>
      <c r="C10" s="35" t="s">
        <v>68</v>
      </c>
      <c r="D10" s="35" t="s">
        <v>69</v>
      </c>
      <c r="E10" s="35" t="s">
        <v>70</v>
      </c>
    </row>
    <row r="11" spans="1:5" ht="9" customHeight="1" x14ac:dyDescent="0.2">
      <c r="A11" s="33"/>
      <c r="B11" s="33"/>
      <c r="C11" s="33"/>
      <c r="D11" s="33"/>
      <c r="E11" s="33"/>
    </row>
    <row r="12" spans="1:5" ht="9" customHeight="1" x14ac:dyDescent="0.2">
      <c r="A12" s="33"/>
      <c r="B12" s="33"/>
      <c r="C12" s="33"/>
      <c r="D12" s="33"/>
      <c r="E12" s="33"/>
    </row>
    <row r="13" spans="1:5" ht="9" customHeight="1" x14ac:dyDescent="0.2">
      <c r="A13" s="33"/>
      <c r="B13" s="33"/>
      <c r="C13" s="33"/>
      <c r="D13" s="33"/>
      <c r="E13" s="33"/>
    </row>
    <row r="14" spans="1:5" ht="9" customHeight="1" x14ac:dyDescent="0.2">
      <c r="A14" s="33"/>
      <c r="B14" s="33"/>
      <c r="C14" s="33"/>
      <c r="D14" s="33"/>
      <c r="E14" s="33"/>
    </row>
    <row r="15" spans="1:5" ht="9" customHeight="1" x14ac:dyDescent="0.2">
      <c r="A15" s="33" t="s">
        <v>24</v>
      </c>
      <c r="B15" s="33"/>
      <c r="C15" s="33"/>
      <c r="D15" s="33"/>
      <c r="E15" s="33">
        <f>SUBTOTAL(103,Table232923[Column5])</f>
        <v>0</v>
      </c>
    </row>
    <row r="17" spans="1:5" ht="16.95" customHeight="1" x14ac:dyDescent="0.2">
      <c r="A17" s="87" t="s">
        <v>76</v>
      </c>
      <c r="B17" s="87"/>
      <c r="C17" s="87"/>
      <c r="D17" s="87"/>
      <c r="E17" s="87"/>
    </row>
    <row r="18" spans="1:5" ht="9" customHeight="1" x14ac:dyDescent="0.2">
      <c r="A18" s="37" t="s">
        <v>66</v>
      </c>
      <c r="B18" s="37" t="s">
        <v>67</v>
      </c>
      <c r="C18" s="37" t="s">
        <v>68</v>
      </c>
      <c r="D18" s="37" t="s">
        <v>69</v>
      </c>
      <c r="E18" s="37" t="s">
        <v>70</v>
      </c>
    </row>
    <row r="19" spans="1:5" ht="9" customHeight="1" x14ac:dyDescent="0.2">
      <c r="A19" s="33"/>
      <c r="B19" s="33"/>
      <c r="C19" s="33"/>
      <c r="D19" s="33"/>
      <c r="E19" s="33"/>
    </row>
    <row r="20" spans="1:5" ht="9" customHeight="1" x14ac:dyDescent="0.2">
      <c r="A20" s="33"/>
      <c r="B20" s="33"/>
      <c r="C20" s="33"/>
      <c r="D20" s="33"/>
      <c r="E20" s="33"/>
    </row>
    <row r="21" spans="1:5" ht="9" customHeight="1" x14ac:dyDescent="0.2">
      <c r="A21" s="33"/>
      <c r="B21" s="33"/>
      <c r="C21" s="33"/>
      <c r="D21" s="33"/>
      <c r="E21" s="33"/>
    </row>
    <row r="22" spans="1:5" ht="9" customHeight="1" x14ac:dyDescent="0.2">
      <c r="A22" s="33"/>
      <c r="B22" s="33"/>
      <c r="C22" s="33"/>
      <c r="D22" s="33"/>
      <c r="E22" s="33"/>
    </row>
    <row r="23" spans="1:5" ht="9" customHeight="1" x14ac:dyDescent="0.2">
      <c r="A23" s="33" t="s">
        <v>24</v>
      </c>
      <c r="B23" s="33"/>
      <c r="C23" s="33"/>
      <c r="D23" s="33"/>
      <c r="E23" s="33">
        <f>SUBTOTAL(103,Table2026[Column5])</f>
        <v>0</v>
      </c>
    </row>
    <row r="24" spans="1:5" ht="9" customHeight="1" x14ac:dyDescent="0.2">
      <c r="A24" s="35"/>
      <c r="B24" s="35"/>
      <c r="C24" s="35"/>
      <c r="D24" s="35"/>
      <c r="E24" s="35"/>
    </row>
    <row r="25" spans="1:5" ht="16.95" customHeight="1" x14ac:dyDescent="0.2">
      <c r="A25" s="86" t="s">
        <v>77</v>
      </c>
      <c r="B25" s="86"/>
      <c r="C25" s="86"/>
      <c r="D25" s="86"/>
      <c r="E25" s="86"/>
    </row>
    <row r="26" spans="1:5" ht="9" customHeight="1" x14ac:dyDescent="0.2">
      <c r="A26" s="35" t="s">
        <v>66</v>
      </c>
      <c r="B26" s="35" t="s">
        <v>67</v>
      </c>
      <c r="C26" s="35" t="s">
        <v>68</v>
      </c>
      <c r="D26" s="35" t="s">
        <v>69</v>
      </c>
      <c r="E26" s="35" t="s">
        <v>70</v>
      </c>
    </row>
    <row r="27" spans="1:5" ht="9" customHeight="1" x14ac:dyDescent="0.2">
      <c r="A27" s="33"/>
      <c r="B27" s="33"/>
      <c r="C27" s="33"/>
      <c r="D27" s="33"/>
      <c r="E27" s="33"/>
    </row>
    <row r="28" spans="1:5" ht="9" customHeight="1" x14ac:dyDescent="0.2">
      <c r="A28" s="33"/>
      <c r="B28" s="33"/>
      <c r="C28" s="33"/>
      <c r="D28" s="33"/>
      <c r="E28" s="33"/>
    </row>
    <row r="29" spans="1:5" ht="9" customHeight="1" x14ac:dyDescent="0.2">
      <c r="A29" s="33"/>
      <c r="B29" s="33"/>
      <c r="C29" s="33"/>
      <c r="D29" s="33"/>
      <c r="E29" s="33"/>
    </row>
    <row r="30" spans="1:5" ht="9" customHeight="1" x14ac:dyDescent="0.2">
      <c r="A30" s="33" t="s">
        <v>24</v>
      </c>
      <c r="B30" s="33"/>
      <c r="C30" s="33"/>
      <c r="D30" s="33"/>
      <c r="E30" s="33">
        <f>SUBTOTAL(103,Table2127[Column5])</f>
        <v>0</v>
      </c>
    </row>
    <row r="31" spans="1:5" ht="9" customHeight="1" x14ac:dyDescent="0.2">
      <c r="A31" s="35"/>
      <c r="B31" s="35"/>
      <c r="C31" s="35"/>
      <c r="D31" s="35"/>
      <c r="E31" s="35"/>
    </row>
    <row r="32" spans="1:5" ht="16.95" customHeight="1" x14ac:dyDescent="0.2">
      <c r="A32" s="92" t="s">
        <v>78</v>
      </c>
      <c r="B32" s="92"/>
      <c r="C32" s="92"/>
      <c r="D32" s="92"/>
      <c r="E32" s="92"/>
    </row>
    <row r="33" spans="1:5" ht="9" customHeight="1" x14ac:dyDescent="0.2">
      <c r="A33" s="35" t="s">
        <v>66</v>
      </c>
      <c r="B33" s="35" t="s">
        <v>67</v>
      </c>
      <c r="C33" s="35" t="s">
        <v>68</v>
      </c>
      <c r="D33" s="35" t="s">
        <v>69</v>
      </c>
      <c r="E33" s="35" t="s">
        <v>70</v>
      </c>
    </row>
    <row r="34" spans="1:5" ht="9" customHeight="1" x14ac:dyDescent="0.2">
      <c r="A34" s="33"/>
      <c r="B34" s="33"/>
      <c r="C34" s="33"/>
      <c r="D34" s="33"/>
      <c r="E34" s="33"/>
    </row>
    <row r="35" spans="1:5" ht="9" customHeight="1" x14ac:dyDescent="0.2">
      <c r="A35" s="33"/>
      <c r="B35" s="34"/>
      <c r="C35" s="33"/>
      <c r="D35" s="33"/>
      <c r="E35" s="33"/>
    </row>
    <row r="36" spans="1:5" ht="9" customHeight="1" x14ac:dyDescent="0.2">
      <c r="A36" s="34"/>
      <c r="B36" s="33"/>
      <c r="C36" s="33"/>
      <c r="D36" s="33"/>
      <c r="E36" s="33"/>
    </row>
    <row r="37" spans="1:5" ht="9" customHeight="1" x14ac:dyDescent="0.2">
      <c r="A37" s="33"/>
      <c r="B37" s="33"/>
      <c r="C37" s="33"/>
      <c r="D37" s="33"/>
      <c r="E37" s="33"/>
    </row>
    <row r="38" spans="1:5" ht="9" customHeight="1" x14ac:dyDescent="0.2">
      <c r="A38" s="33" t="s">
        <v>24</v>
      </c>
      <c r="B38" s="33"/>
      <c r="C38" s="33"/>
      <c r="D38" s="33"/>
      <c r="E38" s="33">
        <f>SUBTOTAL(103,Table2228[Column5])</f>
        <v>0</v>
      </c>
    </row>
    <row r="39" spans="1:5" ht="9" customHeight="1" x14ac:dyDescent="0.2">
      <c r="A39" s="35"/>
      <c r="B39" s="35"/>
      <c r="C39" s="35"/>
      <c r="D39" s="35"/>
      <c r="E39" s="35"/>
    </row>
    <row r="40" spans="1:5" ht="16.95" customHeight="1" x14ac:dyDescent="0.2">
      <c r="A40" s="85" t="s">
        <v>79</v>
      </c>
      <c r="B40" s="85"/>
      <c r="C40" s="85"/>
      <c r="D40" s="85"/>
      <c r="E40" s="85"/>
    </row>
    <row r="41" spans="1:5" ht="9" customHeight="1" x14ac:dyDescent="0.2">
      <c r="A41" s="35" t="s">
        <v>66</v>
      </c>
      <c r="B41" s="35" t="s">
        <v>67</v>
      </c>
      <c r="C41" s="35" t="s">
        <v>68</v>
      </c>
      <c r="D41" s="35" t="s">
        <v>69</v>
      </c>
      <c r="E41" s="35" t="s">
        <v>70</v>
      </c>
    </row>
    <row r="42" spans="1:5" ht="9" customHeight="1" x14ac:dyDescent="0.2">
      <c r="A42" s="33"/>
      <c r="B42" s="33"/>
      <c r="C42" s="33"/>
      <c r="D42" s="33"/>
      <c r="E42" s="33"/>
    </row>
    <row r="43" spans="1:5" ht="9" customHeight="1" x14ac:dyDescent="0.2">
      <c r="A43" s="33"/>
      <c r="B43" s="33"/>
      <c r="C43" s="33"/>
      <c r="D43" s="33"/>
      <c r="E43" s="33"/>
    </row>
    <row r="44" spans="1:5" ht="9" customHeight="1" x14ac:dyDescent="0.2">
      <c r="A44" s="33"/>
      <c r="B44" s="33"/>
      <c r="C44" s="33"/>
      <c r="D44" s="33"/>
      <c r="E44" s="33"/>
    </row>
    <row r="45" spans="1:5" ht="9" customHeight="1" x14ac:dyDescent="0.2">
      <c r="A45" s="33"/>
      <c r="B45" s="33"/>
      <c r="C45" s="33"/>
      <c r="D45" s="33"/>
      <c r="E45" s="33"/>
    </row>
    <row r="46" spans="1:5" ht="9" customHeight="1" x14ac:dyDescent="0.2">
      <c r="A46" s="33" t="s">
        <v>24</v>
      </c>
      <c r="B46" s="33"/>
      <c r="C46" s="33"/>
      <c r="D46" s="33"/>
      <c r="E46" s="33">
        <f>SUBTOTAL(103,Table2329[Column5])</f>
        <v>0</v>
      </c>
    </row>
    <row r="48" spans="1:5" ht="16.95" customHeight="1" x14ac:dyDescent="0.2">
      <c r="A48" s="90" t="s">
        <v>104</v>
      </c>
      <c r="B48" s="90"/>
      <c r="C48" s="90"/>
      <c r="D48" s="90"/>
      <c r="E48" s="90"/>
    </row>
    <row r="49" spans="1:5" ht="9" customHeight="1" x14ac:dyDescent="0.2">
      <c r="A49" s="35" t="s">
        <v>66</v>
      </c>
      <c r="B49" s="35" t="s">
        <v>67</v>
      </c>
      <c r="C49" s="35" t="s">
        <v>68</v>
      </c>
      <c r="D49" s="35" t="s">
        <v>69</v>
      </c>
      <c r="E49" s="35" t="s">
        <v>70</v>
      </c>
    </row>
    <row r="50" spans="1:5" ht="9" customHeight="1" x14ac:dyDescent="0.2">
      <c r="A50" s="33"/>
      <c r="B50" s="33"/>
      <c r="C50" s="33"/>
      <c r="D50" s="33"/>
      <c r="E50" s="33"/>
    </row>
    <row r="51" spans="1:5" ht="9" customHeight="1" x14ac:dyDescent="0.2">
      <c r="A51" s="33"/>
      <c r="B51" s="33"/>
      <c r="C51" s="33"/>
      <c r="D51" s="33"/>
      <c r="E51" s="33"/>
    </row>
    <row r="52" spans="1:5" ht="9" customHeight="1" x14ac:dyDescent="0.2">
      <c r="A52" s="33"/>
      <c r="B52" s="33"/>
      <c r="C52" s="33"/>
      <c r="D52" s="33"/>
      <c r="E52" s="33"/>
    </row>
    <row r="53" spans="1:5" ht="9" customHeight="1" x14ac:dyDescent="0.2">
      <c r="A53" s="33"/>
      <c r="B53" s="33"/>
      <c r="C53" s="33"/>
      <c r="D53" s="33"/>
      <c r="E53" s="33"/>
    </row>
    <row r="54" spans="1:5" ht="9" customHeight="1" x14ac:dyDescent="0.2">
      <c r="A54" s="33" t="s">
        <v>24</v>
      </c>
      <c r="B54" s="33"/>
      <c r="C54" s="33"/>
      <c r="D54" s="33"/>
      <c r="E54" s="33">
        <f>SUBTOTAL(103,Table23292[Column5])</f>
        <v>0</v>
      </c>
    </row>
    <row r="56" spans="1:5" ht="16.95" customHeight="1" x14ac:dyDescent="0.2">
      <c r="A56" s="93" t="s">
        <v>105</v>
      </c>
      <c r="B56" s="93"/>
      <c r="C56" s="93"/>
      <c r="D56" s="93"/>
      <c r="E56" s="93"/>
    </row>
    <row r="57" spans="1:5" ht="9" customHeight="1" x14ac:dyDescent="0.2">
      <c r="A57" s="35" t="s">
        <v>66</v>
      </c>
      <c r="B57" s="35" t="s">
        <v>67</v>
      </c>
      <c r="C57" s="35" t="s">
        <v>68</v>
      </c>
      <c r="D57" s="35" t="s">
        <v>69</v>
      </c>
      <c r="E57" s="35" t="s">
        <v>70</v>
      </c>
    </row>
    <row r="58" spans="1:5" ht="9" customHeight="1" x14ac:dyDescent="0.2">
      <c r="A58" s="33"/>
      <c r="B58" s="33"/>
      <c r="C58" s="33"/>
      <c r="D58" s="33"/>
      <c r="E58" s="33"/>
    </row>
    <row r="59" spans="1:5" ht="9" customHeight="1" x14ac:dyDescent="0.2">
      <c r="A59" s="33"/>
      <c r="B59" s="33"/>
      <c r="C59" s="33"/>
      <c r="D59" s="33"/>
      <c r="E59" s="33"/>
    </row>
    <row r="60" spans="1:5" ht="9" customHeight="1" x14ac:dyDescent="0.2">
      <c r="A60" s="33"/>
      <c r="B60" s="33"/>
      <c r="C60" s="33"/>
      <c r="D60" s="33"/>
      <c r="E60" s="33"/>
    </row>
    <row r="61" spans="1:5" ht="9" customHeight="1" x14ac:dyDescent="0.2">
      <c r="A61" s="33"/>
      <c r="B61" s="33"/>
      <c r="C61" s="33"/>
      <c r="D61" s="33"/>
      <c r="E61" s="33"/>
    </row>
    <row r="62" spans="1:5" ht="9" customHeight="1" x14ac:dyDescent="0.2">
      <c r="A62" s="33" t="s">
        <v>24</v>
      </c>
      <c r="B62" s="33"/>
      <c r="C62" s="33"/>
      <c r="D62" s="33"/>
      <c r="E62" s="33">
        <f>SUBTOTAL(103,Table232925[Column5])</f>
        <v>0</v>
      </c>
    </row>
  </sheetData>
  <mergeCells count="8">
    <mergeCell ref="A9:E9"/>
    <mergeCell ref="A56:E56"/>
    <mergeCell ref="A1:E1"/>
    <mergeCell ref="A40:E40"/>
    <mergeCell ref="A32:E32"/>
    <mergeCell ref="A25:E25"/>
    <mergeCell ref="A17:E17"/>
    <mergeCell ref="A48:E48"/>
  </mergeCells>
  <pageMargins left="0.19927536231884058" right="0.23958333333333334" top="0.9873188405797102" bottom="0.75" header="0.3" footer="0.3"/>
  <pageSetup orientation="portrait" r:id="rId1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C21"/>
  <sheetViews>
    <sheetView workbookViewId="0">
      <selection activeCell="A2" sqref="A2:G2"/>
    </sheetView>
  </sheetViews>
  <sheetFormatPr defaultRowHeight="10.199999999999999" x14ac:dyDescent="0.2"/>
  <cols>
    <col min="1" max="1" width="47" bestFit="1" customWidth="1"/>
    <col min="2" max="2" width="9.7109375" bestFit="1" customWidth="1"/>
    <col min="3" max="3" width="16.42578125" bestFit="1" customWidth="1"/>
    <col min="4" max="5" width="10.140625" bestFit="1" customWidth="1"/>
    <col min="6" max="6" width="20.85546875" bestFit="1" customWidth="1"/>
    <col min="7" max="7" width="14.28515625" bestFit="1" customWidth="1"/>
  </cols>
  <sheetData>
    <row r="3" spans="1:3" x14ac:dyDescent="0.2">
      <c r="A3" s="45" t="s">
        <v>90</v>
      </c>
      <c r="B3" s="35" t="s">
        <v>94</v>
      </c>
      <c r="C3" s="35" t="s">
        <v>95</v>
      </c>
    </row>
    <row r="4" spans="1:3" x14ac:dyDescent="0.2">
      <c r="A4" s="46" t="s">
        <v>87</v>
      </c>
      <c r="B4" s="47">
        <v>34</v>
      </c>
      <c r="C4" s="47">
        <v>2</v>
      </c>
    </row>
    <row r="5" spans="1:3" x14ac:dyDescent="0.2">
      <c r="A5" s="48" t="s">
        <v>81</v>
      </c>
      <c r="B5" s="47">
        <v>12</v>
      </c>
      <c r="C5" s="47">
        <v>1</v>
      </c>
    </row>
    <row r="6" spans="1:3" x14ac:dyDescent="0.2">
      <c r="A6" s="49" t="s">
        <v>89</v>
      </c>
      <c r="B6" s="47">
        <v>12</v>
      </c>
      <c r="C6" s="47">
        <v>1</v>
      </c>
    </row>
    <row r="7" spans="1:3" x14ac:dyDescent="0.2">
      <c r="A7" s="48" t="s">
        <v>82</v>
      </c>
      <c r="B7" s="47">
        <v>22</v>
      </c>
      <c r="C7" s="47">
        <v>1</v>
      </c>
    </row>
    <row r="8" spans="1:3" x14ac:dyDescent="0.2">
      <c r="A8" s="49" t="s">
        <v>89</v>
      </c>
      <c r="B8" s="47">
        <v>22</v>
      </c>
      <c r="C8" s="47">
        <v>1</v>
      </c>
    </row>
    <row r="9" spans="1:3" x14ac:dyDescent="0.2">
      <c r="A9" s="46" t="s">
        <v>88</v>
      </c>
      <c r="B9" s="47">
        <v>216</v>
      </c>
      <c r="C9" s="47">
        <v>1</v>
      </c>
    </row>
    <row r="10" spans="1:3" x14ac:dyDescent="0.2">
      <c r="A10" s="48" t="s">
        <v>83</v>
      </c>
      <c r="B10" s="47">
        <v>2</v>
      </c>
      <c r="C10" s="47">
        <v>1</v>
      </c>
    </row>
    <row r="11" spans="1:3" x14ac:dyDescent="0.2">
      <c r="A11" s="49" t="s">
        <v>89</v>
      </c>
      <c r="B11" s="47">
        <v>2</v>
      </c>
      <c r="C11" s="47">
        <v>1</v>
      </c>
    </row>
    <row r="12" spans="1:3" x14ac:dyDescent="0.2">
      <c r="A12" s="48" t="s">
        <v>84</v>
      </c>
      <c r="B12" s="47">
        <v>1</v>
      </c>
      <c r="C12" s="47"/>
    </row>
    <row r="13" spans="1:3" x14ac:dyDescent="0.2">
      <c r="A13" s="49" t="s">
        <v>92</v>
      </c>
      <c r="B13" s="47">
        <v>1</v>
      </c>
      <c r="C13" s="47"/>
    </row>
    <row r="14" spans="1:3" x14ac:dyDescent="0.2">
      <c r="A14" s="48" t="s">
        <v>85</v>
      </c>
      <c r="B14" s="47">
        <v>1</v>
      </c>
      <c r="C14" s="47"/>
    </row>
    <row r="15" spans="1:3" x14ac:dyDescent="0.2">
      <c r="A15" s="49" t="s">
        <v>92</v>
      </c>
      <c r="B15" s="47">
        <v>1</v>
      </c>
      <c r="C15" s="47"/>
    </row>
    <row r="16" spans="1:3" x14ac:dyDescent="0.2">
      <c r="A16" s="48" t="s">
        <v>86</v>
      </c>
      <c r="B16" s="47">
        <v>212</v>
      </c>
      <c r="C16" s="47"/>
    </row>
    <row r="17" spans="1:3" x14ac:dyDescent="0.2">
      <c r="A17" s="49" t="s">
        <v>92</v>
      </c>
      <c r="B17" s="47">
        <v>212</v>
      </c>
      <c r="C17" s="47"/>
    </row>
    <row r="18" spans="1:3" x14ac:dyDescent="0.2">
      <c r="A18" s="46" t="s">
        <v>71</v>
      </c>
      <c r="B18" s="47">
        <v>12</v>
      </c>
      <c r="C18" s="47"/>
    </row>
    <row r="19" spans="1:3" x14ac:dyDescent="0.2">
      <c r="A19" s="48" t="s">
        <v>80</v>
      </c>
      <c r="B19" s="47">
        <v>12</v>
      </c>
      <c r="C19" s="47"/>
    </row>
    <row r="20" spans="1:3" x14ac:dyDescent="0.2">
      <c r="A20" s="49" t="s">
        <v>92</v>
      </c>
      <c r="B20" s="47">
        <v>12</v>
      </c>
      <c r="C20" s="47"/>
    </row>
    <row r="21" spans="1:3" x14ac:dyDescent="0.2">
      <c r="A21" s="46" t="s">
        <v>91</v>
      </c>
      <c r="B21" s="47">
        <v>262</v>
      </c>
      <c r="C21" s="47">
        <v>3</v>
      </c>
    </row>
  </sheetData>
  <pageMargins left="0.19927536231884058" right="0.23958333333333334" top="0.9873188405797102" bottom="0.75" header="0.3" footer="0.3"/>
  <pageSetup paperSize="9" orientation="portrait" r:id="rId2"/>
  <headerFooter>
    <oddHeader>&amp;L&amp;G&amp;R&amp;K7030A0 Project:&amp;K01+000SMS)
&amp;K7030A0 Title:&amp;K01+000 ITR-XlsTemp
&amp;K7030A0 Classification:&amp;K01+000 Internal</oddHeader>
    <oddFooter>&amp;L&amp;"Corbel,Regular"&amp;8&amp;F&amp;C&amp;"Corbel,Regular"&amp;8&amp;D - &amp;T&amp;R&amp;9
&amp;"Corbel,Regular"&amp;8&amp;A - 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28515625" defaultRowHeight="14.4" x14ac:dyDescent="0.2"/>
  <cols>
    <col min="1" max="1" width="53.42578125" style="7" customWidth="1"/>
    <col min="2" max="2" width="12.140625" style="7" customWidth="1"/>
    <col min="3" max="4" width="8" style="7" customWidth="1"/>
    <col min="5" max="5" width="14" style="7" customWidth="1"/>
    <col min="6" max="6" width="13.85546875" style="7" customWidth="1"/>
    <col min="7" max="7" width="9.140625" style="7" customWidth="1"/>
    <col min="8" max="8" width="13" style="7" customWidth="1"/>
    <col min="9" max="16384" width="9.28515625" style="7"/>
  </cols>
  <sheetData>
    <row r="1" spans="1:11" x14ac:dyDescent="0.2">
      <c r="A1" s="88" t="s">
        <v>36</v>
      </c>
      <c r="B1" s="88"/>
      <c r="C1" s="88"/>
      <c r="D1" s="88"/>
      <c r="E1" s="88"/>
      <c r="F1" s="88"/>
      <c r="G1" s="88"/>
      <c r="H1" s="88"/>
      <c r="I1" s="88"/>
      <c r="J1" s="88"/>
      <c r="K1" s="88"/>
    </row>
    <row r="3" spans="1:11" ht="21" x14ac:dyDescent="0.2">
      <c r="A3" s="89" t="s">
        <v>37</v>
      </c>
      <c r="B3" s="89"/>
      <c r="C3" s="89"/>
      <c r="D3" s="89"/>
      <c r="E3" s="89"/>
      <c r="F3" s="89"/>
      <c r="G3" s="89"/>
      <c r="H3" s="89"/>
      <c r="I3" s="89"/>
      <c r="J3" s="89"/>
      <c r="K3" s="89"/>
    </row>
    <row r="5" spans="1:11" x14ac:dyDescent="0.2">
      <c r="A5" s="8" t="s">
        <v>38</v>
      </c>
    </row>
    <row r="7" spans="1:11" x14ac:dyDescent="0.2">
      <c r="A7" s="9" t="s">
        <v>39</v>
      </c>
    </row>
    <row r="9" spans="1:11" ht="21" x14ac:dyDescent="0.2">
      <c r="B9" s="31" t="s">
        <v>40</v>
      </c>
      <c r="C9" s="7" t="s">
        <v>41</v>
      </c>
      <c r="D9" s="7" t="s">
        <v>42</v>
      </c>
      <c r="E9" s="7" t="s">
        <v>43</v>
      </c>
      <c r="F9" s="7" t="s">
        <v>44</v>
      </c>
      <c r="G9" s="7" t="s">
        <v>45</v>
      </c>
      <c r="H9" s="7" t="s">
        <v>46</v>
      </c>
    </row>
    <row r="10" spans="1:11" x14ac:dyDescent="0.2">
      <c r="B10" s="7" t="s">
        <v>47</v>
      </c>
      <c r="F10" s="10"/>
    </row>
    <row r="11" spans="1:11" x14ac:dyDescent="0.2">
      <c r="B11" s="7" t="s">
        <v>48</v>
      </c>
    </row>
    <row r="12" spans="1:11" x14ac:dyDescent="0.2">
      <c r="B12" s="7" t="s">
        <v>49</v>
      </c>
    </row>
    <row r="13" spans="1:11" x14ac:dyDescent="0.2">
      <c r="B13" s="7" t="s">
        <v>50</v>
      </c>
    </row>
    <row r="14" spans="1:11" x14ac:dyDescent="0.2">
      <c r="B14" s="7" t="s">
        <v>51</v>
      </c>
    </row>
    <row r="15" spans="1:11" x14ac:dyDescent="0.2">
      <c r="B15" s="7" t="s">
        <v>52</v>
      </c>
    </row>
    <row r="16" spans="1:11" x14ac:dyDescent="0.2">
      <c r="B16" s="7" t="s">
        <v>53</v>
      </c>
    </row>
    <row r="17" spans="1:8" x14ac:dyDescent="0.2">
      <c r="B17" s="7" t="s">
        <v>54</v>
      </c>
    </row>
    <row r="18" spans="1:8" x14ac:dyDescent="0.2">
      <c r="B18" s="7" t="s">
        <v>24</v>
      </c>
      <c r="H18" s="7">
        <f>SUBTOTAL(103,Table2[Htotal])</f>
        <v>0</v>
      </c>
    </row>
    <row r="20" spans="1:8" x14ac:dyDescent="0.2">
      <c r="A20" s="9" t="s">
        <v>55</v>
      </c>
    </row>
    <row r="22" spans="1:8" x14ac:dyDescent="0.2">
      <c r="B22" s="7" t="s">
        <v>40</v>
      </c>
      <c r="C22" s="7" t="s">
        <v>41</v>
      </c>
      <c r="D22" s="7" t="s">
        <v>42</v>
      </c>
      <c r="E22" s="7" t="s">
        <v>43</v>
      </c>
      <c r="F22" s="7" t="s">
        <v>44</v>
      </c>
      <c r="G22" s="7" t="s">
        <v>45</v>
      </c>
      <c r="H22" s="7" t="s">
        <v>46</v>
      </c>
    </row>
    <row r="23" spans="1:8" x14ac:dyDescent="0.2">
      <c r="B23" s="7" t="s">
        <v>47</v>
      </c>
    </row>
    <row r="24" spans="1:8" x14ac:dyDescent="0.2">
      <c r="B24" s="7" t="s">
        <v>48</v>
      </c>
    </row>
    <row r="25" spans="1:8" x14ac:dyDescent="0.2">
      <c r="B25" s="7" t="s">
        <v>49</v>
      </c>
    </row>
    <row r="26" spans="1:8" x14ac:dyDescent="0.2">
      <c r="B26" s="7" t="s">
        <v>50</v>
      </c>
    </row>
    <row r="27" spans="1:8" x14ac:dyDescent="0.2">
      <c r="B27" s="7" t="s">
        <v>51</v>
      </c>
    </row>
    <row r="28" spans="1:8" x14ac:dyDescent="0.2">
      <c r="B28" s="7" t="s">
        <v>52</v>
      </c>
    </row>
    <row r="29" spans="1:8" x14ac:dyDescent="0.2">
      <c r="B29" s="7" t="s">
        <v>53</v>
      </c>
    </row>
    <row r="30" spans="1:8" x14ac:dyDescent="0.2">
      <c r="B30" s="7" t="s">
        <v>54</v>
      </c>
    </row>
    <row r="31" spans="1:8" x14ac:dyDescent="0.2">
      <c r="B31" s="7" t="s">
        <v>24</v>
      </c>
      <c r="H31" s="7">
        <f>SUBTOTAL(103,Table311[Htotal])</f>
        <v>0</v>
      </c>
    </row>
    <row r="33" spans="1:8" x14ac:dyDescent="0.2">
      <c r="A33" s="9" t="s">
        <v>56</v>
      </c>
    </row>
    <row r="35" spans="1:8" x14ac:dyDescent="0.2">
      <c r="B35" s="11" t="s">
        <v>40</v>
      </c>
      <c r="C35" s="12" t="s">
        <v>41</v>
      </c>
      <c r="D35" s="12" t="s">
        <v>42</v>
      </c>
      <c r="E35" s="12" t="s">
        <v>43</v>
      </c>
      <c r="F35" s="12" t="s">
        <v>44</v>
      </c>
      <c r="G35" s="12" t="s">
        <v>45</v>
      </c>
      <c r="H35" s="13" t="s">
        <v>46</v>
      </c>
    </row>
    <row r="36" spans="1:8" x14ac:dyDescent="0.2">
      <c r="B36" s="14" t="s">
        <v>47</v>
      </c>
      <c r="C36" s="15"/>
      <c r="D36" s="15"/>
      <c r="E36" s="15"/>
      <c r="F36" s="15"/>
      <c r="G36" s="15"/>
      <c r="H36" s="16"/>
    </row>
    <row r="37" spans="1:8" x14ac:dyDescent="0.2">
      <c r="B37" s="14" t="s">
        <v>48</v>
      </c>
      <c r="C37" s="15"/>
      <c r="D37" s="15"/>
      <c r="E37" s="15"/>
      <c r="F37" s="15"/>
      <c r="G37" s="15"/>
      <c r="H37" s="16"/>
    </row>
    <row r="38" spans="1:8" x14ac:dyDescent="0.2">
      <c r="B38" s="14" t="s">
        <v>49</v>
      </c>
      <c r="C38" s="15"/>
      <c r="D38" s="15"/>
      <c r="E38" s="15"/>
      <c r="F38" s="15"/>
      <c r="G38" s="15"/>
      <c r="H38" s="16"/>
    </row>
    <row r="39" spans="1:8" x14ac:dyDescent="0.2">
      <c r="B39" s="14" t="s">
        <v>50</v>
      </c>
      <c r="C39" s="15"/>
      <c r="D39" s="15"/>
      <c r="E39" s="15"/>
      <c r="F39" s="15"/>
      <c r="G39" s="15"/>
      <c r="H39" s="16"/>
    </row>
    <row r="40" spans="1:8" x14ac:dyDescent="0.2">
      <c r="B40" s="14" t="s">
        <v>51</v>
      </c>
      <c r="C40" s="15"/>
      <c r="D40" s="15"/>
      <c r="E40" s="15"/>
      <c r="F40" s="15"/>
      <c r="G40" s="15"/>
      <c r="H40" s="16"/>
    </row>
    <row r="41" spans="1:8" x14ac:dyDescent="0.2">
      <c r="B41" s="14" t="s">
        <v>52</v>
      </c>
      <c r="C41" s="15"/>
      <c r="D41" s="15"/>
      <c r="E41" s="15"/>
      <c r="F41" s="15"/>
      <c r="G41" s="15"/>
      <c r="H41" s="16"/>
    </row>
    <row r="42" spans="1:8" x14ac:dyDescent="0.2">
      <c r="B42" s="14" t="s">
        <v>53</v>
      </c>
      <c r="C42" s="15"/>
      <c r="D42" s="15"/>
      <c r="E42" s="15"/>
      <c r="F42" s="15"/>
      <c r="G42" s="15"/>
      <c r="H42" s="16"/>
    </row>
    <row r="43" spans="1:8" x14ac:dyDescent="0.2">
      <c r="B43" s="14" t="s">
        <v>54</v>
      </c>
      <c r="C43" s="17"/>
      <c r="D43" s="17"/>
      <c r="E43" s="17"/>
      <c r="F43" s="17"/>
      <c r="G43" s="17"/>
      <c r="H43" s="18"/>
    </row>
    <row r="44" spans="1:8" x14ac:dyDescent="0.2">
      <c r="B44" s="19" t="s">
        <v>24</v>
      </c>
      <c r="C44" s="17"/>
      <c r="D44" s="17"/>
      <c r="E44" s="17"/>
      <c r="F44" s="17"/>
      <c r="G44" s="17"/>
      <c r="H44" s="18">
        <f>SUBTOTAL(103,Table412[Htotal])</f>
        <v>0</v>
      </c>
    </row>
    <row r="45" spans="1:8" x14ac:dyDescent="0.2">
      <c r="A45" s="9" t="s">
        <v>57</v>
      </c>
    </row>
    <row r="47" spans="1:8" x14ac:dyDescent="0.2">
      <c r="B47" s="11" t="s">
        <v>40</v>
      </c>
      <c r="C47" s="12" t="s">
        <v>41</v>
      </c>
      <c r="D47" s="12" t="s">
        <v>42</v>
      </c>
      <c r="E47" s="12" t="s">
        <v>43</v>
      </c>
      <c r="F47" s="12" t="s">
        <v>44</v>
      </c>
      <c r="G47" s="12" t="s">
        <v>45</v>
      </c>
      <c r="H47" s="13" t="s">
        <v>46</v>
      </c>
    </row>
    <row r="48" spans="1:8" x14ac:dyDescent="0.2">
      <c r="B48" s="14" t="s">
        <v>47</v>
      </c>
      <c r="C48" s="15"/>
      <c r="D48" s="15"/>
      <c r="E48" s="15"/>
      <c r="F48" s="15"/>
      <c r="G48" s="15"/>
      <c r="H48" s="16"/>
    </row>
    <row r="49" spans="1:8" x14ac:dyDescent="0.2">
      <c r="B49" s="14" t="s">
        <v>48</v>
      </c>
      <c r="C49" s="15"/>
      <c r="D49" s="15"/>
      <c r="E49" s="15"/>
      <c r="F49" s="15"/>
      <c r="G49" s="15"/>
      <c r="H49" s="16"/>
    </row>
    <row r="50" spans="1:8" x14ac:dyDescent="0.2">
      <c r="B50" s="14" t="s">
        <v>49</v>
      </c>
      <c r="C50" s="15"/>
      <c r="D50" s="15"/>
      <c r="E50" s="15"/>
      <c r="F50" s="15"/>
      <c r="G50" s="15"/>
      <c r="H50" s="16"/>
    </row>
    <row r="51" spans="1:8" x14ac:dyDescent="0.2">
      <c r="B51" s="14" t="s">
        <v>50</v>
      </c>
      <c r="C51" s="15"/>
      <c r="D51" s="15"/>
      <c r="E51" s="15"/>
      <c r="F51" s="15"/>
      <c r="G51" s="15"/>
      <c r="H51" s="16"/>
    </row>
    <row r="52" spans="1:8" x14ac:dyDescent="0.2">
      <c r="B52" s="14" t="s">
        <v>51</v>
      </c>
      <c r="C52" s="15"/>
      <c r="D52" s="15"/>
      <c r="E52" s="15"/>
      <c r="F52" s="15"/>
      <c r="G52" s="15"/>
      <c r="H52" s="16"/>
    </row>
    <row r="53" spans="1:8" x14ac:dyDescent="0.2">
      <c r="B53" s="14" t="s">
        <v>52</v>
      </c>
      <c r="C53" s="15"/>
      <c r="D53" s="15"/>
      <c r="E53" s="15"/>
      <c r="F53" s="15"/>
      <c r="G53" s="15"/>
      <c r="H53" s="16"/>
    </row>
    <row r="54" spans="1:8" x14ac:dyDescent="0.2">
      <c r="B54" s="14" t="s">
        <v>53</v>
      </c>
      <c r="C54" s="15"/>
      <c r="D54" s="15"/>
      <c r="E54" s="15"/>
      <c r="F54" s="15"/>
      <c r="G54" s="15"/>
      <c r="H54" s="16"/>
    </row>
    <row r="55" spans="1:8" x14ac:dyDescent="0.2">
      <c r="B55" s="14" t="s">
        <v>54</v>
      </c>
      <c r="C55" s="17"/>
      <c r="D55" s="17"/>
      <c r="E55" s="17"/>
      <c r="F55" s="17"/>
      <c r="G55" s="17"/>
      <c r="H55" s="18"/>
    </row>
    <row r="56" spans="1:8" x14ac:dyDescent="0.2">
      <c r="B56" s="19" t="s">
        <v>24</v>
      </c>
      <c r="C56" s="17"/>
      <c r="D56" s="17"/>
      <c r="E56" s="17"/>
      <c r="F56" s="17"/>
      <c r="G56" s="17"/>
      <c r="H56" s="18">
        <f>SUBTOTAL(103,Table46[Htotal])</f>
        <v>0</v>
      </c>
    </row>
    <row r="58" spans="1:8" ht="18" x14ac:dyDescent="0.2">
      <c r="A58" s="20" t="s">
        <v>58</v>
      </c>
    </row>
    <row r="60" spans="1:8" x14ac:dyDescent="0.2">
      <c r="C60" s="21" t="s">
        <v>59</v>
      </c>
      <c r="D60" s="22" t="s">
        <v>41</v>
      </c>
      <c r="E60" s="22" t="s">
        <v>42</v>
      </c>
      <c r="F60" s="22" t="s">
        <v>43</v>
      </c>
      <c r="G60" s="22" t="s">
        <v>44</v>
      </c>
    </row>
    <row r="61" spans="1:8" x14ac:dyDescent="0.2">
      <c r="C61" s="23" t="s">
        <v>60</v>
      </c>
      <c r="D61" s="24" t="s">
        <v>61</v>
      </c>
      <c r="E61" s="25" t="s">
        <v>62</v>
      </c>
      <c r="F61" s="26" t="s">
        <v>63</v>
      </c>
      <c r="G61" s="27" t="s">
        <v>64</v>
      </c>
    </row>
    <row r="62" spans="1:8" x14ac:dyDescent="0.2">
      <c r="C62" s="28"/>
      <c r="D62" s="24"/>
      <c r="E62" s="25"/>
      <c r="F62" s="26"/>
      <c r="G62" s="27"/>
    </row>
    <row r="63" spans="1:8" x14ac:dyDescent="0.2">
      <c r="C63" s="28"/>
      <c r="D63" s="24"/>
      <c r="E63" s="25"/>
      <c r="F63" s="26"/>
      <c r="G63" s="27"/>
    </row>
    <row r="64" spans="1:8" x14ac:dyDescent="0.2">
      <c r="C64" s="28"/>
      <c r="D64" s="24"/>
      <c r="E64" s="25"/>
      <c r="F64" s="26"/>
      <c r="G64" s="27"/>
    </row>
    <row r="65" spans="3:7" x14ac:dyDescent="0.2">
      <c r="C65" s="28"/>
      <c r="D65" s="24"/>
      <c r="E65" s="25"/>
      <c r="F65" s="26"/>
      <c r="G65" s="27"/>
    </row>
    <row r="66" spans="3:7" x14ac:dyDescent="0.2">
      <c r="C66" s="28"/>
      <c r="D66" s="24"/>
      <c r="E66" s="25"/>
      <c r="F66" s="26"/>
      <c r="G66" s="27"/>
    </row>
    <row r="67" spans="3:7" x14ac:dyDescent="0.2">
      <c r="C67" s="28"/>
      <c r="D67" s="24"/>
      <c r="E67" s="25"/>
      <c r="F67" s="26"/>
      <c r="G67" s="27"/>
    </row>
    <row r="68" spans="3:7" x14ac:dyDescent="0.2">
      <c r="C68" s="28"/>
      <c r="D68" s="24"/>
      <c r="E68" s="25"/>
      <c r="F68" s="26"/>
      <c r="G68" s="27"/>
    </row>
    <row r="69" spans="3:7" x14ac:dyDescent="0.2">
      <c r="C69" s="28"/>
      <c r="D69" s="24"/>
      <c r="E69" s="25"/>
      <c r="F69" s="26"/>
      <c r="G69" s="27"/>
    </row>
    <row r="70" spans="3:7" x14ac:dyDescent="0.2">
      <c r="C70" s="29"/>
      <c r="D70" s="24"/>
      <c r="E70" s="25"/>
      <c r="F70" s="30"/>
      <c r="G70" s="27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Hist</vt:lpstr>
      <vt:lpstr>Structure</vt:lpstr>
      <vt:lpstr>Table examples</vt:lpstr>
      <vt:lpstr>Pivot table example</vt:lpstr>
      <vt:lpstr>Example</vt:lpstr>
      <vt:lpstr>Example!Print_Area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Ingo Senft</cp:lastModifiedBy>
  <cp:lastPrinted>2019-01-23T14:43:49Z</cp:lastPrinted>
  <dcterms:created xsi:type="dcterms:W3CDTF">2008-06-07T09:53:51Z</dcterms:created>
  <dcterms:modified xsi:type="dcterms:W3CDTF">2019-03-15T18:28:11Z</dcterms:modified>
</cp:coreProperties>
</file>