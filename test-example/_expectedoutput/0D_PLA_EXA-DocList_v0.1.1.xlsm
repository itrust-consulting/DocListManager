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N:\CyFORT-RW\5_CS-GRAM\5D_DocListTool\5DC_Implementation\test-example\"/>
    </mc:Choice>
  </mc:AlternateContent>
  <xr:revisionPtr revIDLastSave="0" documentId="13_ncr:1_{17576D92-DA53-48D7-86D1-255DD7B460B9}" xr6:coauthVersionLast="47" xr6:coauthVersionMax="47" xr10:uidLastSave="{00000000-0000-0000-0000-000000000000}"/>
  <bookViews>
    <workbookView xWindow="-38510" yWindow="-1930" windowWidth="38620" windowHeight="21100" tabRatio="939" activeTab="2" xr2:uid="{00000000-000D-0000-FFFF-FFFF00000000}"/>
  </bookViews>
  <sheets>
    <sheet name="Hist" sheetId="54" r:id="rId1"/>
    <sheet name="Guide" sheetId="55" r:id="rId2"/>
    <sheet name="DocList" sheetId="51" r:id="rId3"/>
    <sheet name="Misc" sheetId="59" r:id="rId4"/>
    <sheet name="Parameters" sheetId="52" r:id="rId5"/>
    <sheet name="KPI" sheetId="57" r:id="rId6"/>
  </sheets>
  <functionGroups builtInGroupCount="19"/>
  <definedNames>
    <definedName name="_xleta.SUBTOTAL" hidden="1" xlm="1">#NAME?</definedName>
    <definedName name="_xleta.VLOOKUP" hidden="1" xlm="1">#NAME?</definedName>
    <definedName name="Choix1">OFFSET(#REF!,,,,COUNTA(#REF!))</definedName>
    <definedName name="Choix2">#REF!</definedName>
    <definedName name="choix3">OFFSET(#REF!,,,,COUNTA(#REF!))</definedName>
    <definedName name="_xlnm.Print_Area" localSheetId="2">TableDocList[#All]</definedName>
    <definedName name="_xlnm.Print_Area" localSheetId="1">Guide!$A$1:$U$42</definedName>
    <definedName name="_xlnm.Print_Area" localSheetId="0">Hist!$A$1:$D$15</definedName>
    <definedName name="_xlnm.Print_Area" localSheetId="3">TableMisc[#All]</definedName>
    <definedName name="_xlnm.Print_Area" localSheetId="4">Parameters!$A$1:$D$46</definedName>
    <definedName name="_xlnm.Print_Titles" localSheetId="2">DocList!$A:$A,DocList!$1:$1</definedName>
    <definedName name="_xlnm.Print_Titles" localSheetId="3">Misc!$A:$A,Misc!$1:$1</definedName>
    <definedName name="StatusParH">#REF!</definedName>
  </definedNames>
  <calcPr calcId="191029"/>
  <pivotCaches>
    <pivotCache cacheId="18" r:id="rId7"/>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10" i="59" l="1"/>
  <c r="AD10" i="59"/>
  <c r="AC10" i="59"/>
  <c r="Y10" i="59"/>
  <c r="W10" i="59"/>
  <c r="P10" i="59"/>
  <c r="X10" i="59" s="1"/>
  <c r="Z2" i="59"/>
  <c r="AA2" i="59" s="1"/>
  <c r="AA10" i="59" s="1"/>
  <c r="Z10" i="59" s="1"/>
  <c r="M2" i="59" a="1"/>
  <c r="M2" i="59" s="1"/>
  <c r="O2" i="59" s="1"/>
  <c r="A2" i="59"/>
  <c r="AG2" i="59" a="1"/>
  <c r="AG2" i="51" a="1"/>
  <c r="AG2" i="51" l="1"/>
  <c r="AG2" i="59"/>
  <c r="L2" i="59"/>
  <c r="A10" i="59"/>
  <c r="G10" i="59" s="1"/>
  <c r="M2" i="51" l="1" a="1"/>
  <c r="M2" i="51" s="1"/>
  <c r="AF34" i="51"/>
  <c r="P34" i="51" l="1"/>
  <c r="AD34" i="51" l="1"/>
  <c r="AC34" i="51"/>
  <c r="Y34" i="51"/>
  <c r="X34" i="51"/>
  <c r="W34" i="51"/>
  <c r="Z2" i="51"/>
  <c r="AA2" i="51" s="1"/>
  <c r="AA34" i="51" s="1"/>
  <c r="A2" i="51"/>
  <c r="A34" i="51" s="1"/>
  <c r="Z34" i="51" l="1"/>
  <c r="O2" i="51"/>
  <c r="L2" i="51"/>
  <c r="G34"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author>
  </authors>
  <commentList>
    <comment ref="Y1" authorId="0" shapeId="0" xr:uid="{EE12298E-DB0F-411F-88FC-3DE1153C6D88}">
      <text>
        <r>
          <rPr>
            <b/>
            <sz val="9"/>
            <color indexed="81"/>
            <rFont val="Tahoma"/>
            <family val="2"/>
          </rPr>
          <t>Alexis:</t>
        </r>
        <r>
          <rPr>
            <sz val="9"/>
            <color indexed="81"/>
            <rFont val="Tahoma"/>
            <family val="2"/>
          </rPr>
          <t xml:space="preserve">
Date when the owner confirms (at the end of review) that the document does not need to be updated.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Alexis</author>
  </authors>
  <commentList>
    <comment ref="Y1" authorId="0" shapeId="0" xr:uid="{5CF658EC-B5AE-43AE-92CF-D595E97B6C71}">
      <text>
        <r>
          <rPr>
            <b/>
            <sz val="9"/>
            <color indexed="81"/>
            <rFont val="Tahoma"/>
            <family val="2"/>
          </rPr>
          <t>Alexis:</t>
        </r>
        <r>
          <rPr>
            <sz val="9"/>
            <color indexed="81"/>
            <rFont val="Tahoma"/>
            <family val="2"/>
          </rPr>
          <t xml:space="preserve">
Date when the owner confirms (at the end of review) that the document does not need to be updated.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<sst xmlns="http://schemas.openxmlformats.org/spreadsheetml/2006/main" count="677" uniqueCount="339">
  <si>
    <t>Owner</t>
  </si>
  <si>
    <t>Status</t>
  </si>
  <si>
    <t>Comments</t>
  </si>
  <si>
    <t>Type</t>
  </si>
  <si>
    <t>Ext.</t>
  </si>
  <si>
    <t>Filename</t>
  </si>
  <si>
    <t>Folder</t>
  </si>
  <si>
    <t>Policy</t>
  </si>
  <si>
    <t>ITR</t>
  </si>
  <si>
    <t>Id</t>
  </si>
  <si>
    <t>Old Id</t>
  </si>
  <si>
    <t>i</t>
  </si>
  <si>
    <t>j</t>
  </si>
  <si>
    <t>k</t>
  </si>
  <si>
    <t>l</t>
  </si>
  <si>
    <t>Title</t>
  </si>
  <si>
    <t>Acr.</t>
  </si>
  <si>
    <t>Ver. (opt)</t>
  </si>
  <si>
    <t>Organisation</t>
  </si>
  <si>
    <t>OrgAcr</t>
  </si>
  <si>
    <t>Ref.</t>
  </si>
  <si>
    <t>Classif.</t>
  </si>
  <si>
    <t>Manager</t>
  </si>
  <si>
    <t>Published</t>
  </si>
  <si>
    <t>last CC</t>
  </si>
  <si>
    <t>Next reviewer</t>
  </si>
  <si>
    <t>Ticket or deadline</t>
  </si>
  <si>
    <t>Confirm date</t>
  </si>
  <si>
    <t>Next review plan</t>
  </si>
  <si>
    <t>Month to next revison</t>
  </si>
  <si>
    <t>Changed on</t>
  </si>
  <si>
    <t>By</t>
  </si>
  <si>
    <t>Pending action</t>
  </si>
  <si>
    <t>itrust consulting</t>
  </si>
  <si>
    <t>1.0</t>
  </si>
  <si>
    <t>1.0 - Distributed</t>
  </si>
  <si>
    <t>docx</t>
  </si>
  <si>
    <t>MD</t>
  </si>
  <si>
    <t>N/A</t>
  </si>
  <si>
    <t>N:\MG\ISMS</t>
  </si>
  <si>
    <t>Documents in Final status:</t>
  </si>
  <si>
    <t>`</t>
  </si>
  <si>
    <t>DummyEntry</t>
  </si>
  <si>
    <t>AAA</t>
  </si>
  <si>
    <t>Dummy Entry do not delete</t>
  </si>
  <si>
    <t>Error</t>
  </si>
  <si>
    <t>IN-Internal</t>
  </si>
  <si>
    <t>A</t>
  </si>
  <si>
    <t>aa-aa</t>
  </si>
  <si>
    <t>Parameters used by DocListHandler tool</t>
  </si>
  <si>
    <t>Type Acronymns</t>
  </si>
  <si>
    <t>Type-ACR</t>
  </si>
  <si>
    <t>Type-ACR Re</t>
  </si>
  <si>
    <t>STA</t>
  </si>
  <si>
    <t>Standard</t>
  </si>
  <si>
    <t>POL</t>
  </si>
  <si>
    <t>PLA</t>
  </si>
  <si>
    <t>Plan</t>
  </si>
  <si>
    <t>PRO</t>
  </si>
  <si>
    <t>Procedure</t>
  </si>
  <si>
    <t>TPL</t>
  </si>
  <si>
    <t>Template</t>
  </si>
  <si>
    <t>TSE</t>
  </si>
  <si>
    <t>TrickServiceExport</t>
  </si>
  <si>
    <t>TAG</t>
  </si>
  <si>
    <t>Tags</t>
  </si>
  <si>
    <t>REC</t>
  </si>
  <si>
    <t>Record</t>
  </si>
  <si>
    <t>FIG</t>
  </si>
  <si>
    <t>Figure</t>
  </si>
  <si>
    <t>TST</t>
  </si>
  <si>
    <t>Timesheet</t>
  </si>
  <si>
    <t>Organization Aronyms</t>
  </si>
  <si>
    <t>Org-ACR</t>
  </si>
  <si>
    <t>Organization</t>
  </si>
  <si>
    <t>INFPC</t>
  </si>
  <si>
    <r>
      <t>National Institute for the Development of Continuing Vocational Training</t>
    </r>
    <r>
      <rPr>
        <sz val="15"/>
        <color rgb="FF1F1F1F"/>
        <rFont val="Arial"/>
        <family val="2"/>
      </rPr>
      <t> </t>
    </r>
  </si>
  <si>
    <t>ISO</t>
  </si>
  <si>
    <t>International Organization for Standardization</t>
  </si>
  <si>
    <t>Status - Based on version of files</t>
  </si>
  <si>
    <t>Distributed</t>
  </si>
  <si>
    <t>Version no's like</t>
  </si>
  <si>
    <t>ToolGen</t>
  </si>
  <si>
    <t>No</t>
  </si>
  <si>
    <t>0.0 - Not required</t>
  </si>
  <si>
    <t>0.1 - To do</t>
  </si>
  <si>
    <t>0.1 - InitialDraft</t>
  </si>
  <si>
    <t>0.1, 0.1.1, 0.1.2, 0.1.4</t>
  </si>
  <si>
    <t>Yes</t>
  </si>
  <si>
    <t>0.2 - Draft</t>
  </si>
  <si>
    <t xml:space="preserve">0.2 0.2.1 .. </t>
  </si>
  <si>
    <t>0.3 - Structure and content validated</t>
  </si>
  <si>
    <t>0.3 0.3.1 ..</t>
  </si>
  <si>
    <t>0.4 - Final draft</t>
  </si>
  <si>
    <t xml:space="preserve">0.4, 0.4.1 </t>
  </si>
  <si>
    <t>1.0 - To approve</t>
  </si>
  <si>
    <t>1.x - For revision</t>
  </si>
  <si>
    <t>1.1, 1.2, 1.3</t>
  </si>
  <si>
    <t>1.x.x - Current</t>
  </si>
  <si>
    <t>1.1.1, 2.1.2 (&gt;= level3)</t>
  </si>
  <si>
    <t>? - Unknown</t>
  </si>
  <si>
    <t>Others not parsed by tool</t>
  </si>
  <si>
    <t>1.x - Revised</t>
  </si>
  <si>
    <t xml:space="preserve"> 1.1, 1.2, 2.1 </t>
  </si>
  <si>
    <t>9 - Withdrawn</t>
  </si>
  <si>
    <t>? - IncorrectDist</t>
  </si>
  <si>
    <t>1.1.1, 2.1.3.1 … (&gt;=level 3)</t>
  </si>
  <si>
    <t>Classification</t>
  </si>
  <si>
    <t>PU-Public</t>
  </si>
  <si>
    <t>RE-Restricted</t>
  </si>
  <si>
    <t>CO-Condidential</t>
  </si>
  <si>
    <t>SE-Secret</t>
  </si>
  <si>
    <t>EX-external</t>
  </si>
  <si>
    <t>print area ends above this line</t>
  </si>
  <si>
    <t xml:space="preserve">Please Follow Naming Convention </t>
  </si>
  <si>
    <t xml:space="preserve"> ID_Domain_Type_TitleAcr_Version(-Date-abbreviation).Extension</t>
  </si>
  <si>
    <t>IDS (Following ITR ISMS convention determined from IS27002-2022 std)</t>
  </si>
  <si>
    <t>ID</t>
  </si>
  <si>
    <t>Topic</t>
  </si>
  <si>
    <t>InfoSec</t>
  </si>
  <si>
    <r>
      <t xml:space="preserve">DocListManagement Tool will </t>
    </r>
    <r>
      <rPr>
        <u/>
        <sz val="10"/>
        <color theme="1"/>
        <rFont val="Corbel"/>
        <family val="2"/>
      </rPr>
      <t>only</t>
    </r>
    <r>
      <rPr>
        <sz val="10"/>
        <color theme="1"/>
        <rFont val="Corbel"/>
        <family val="2"/>
      </rPr>
      <t xml:space="preserve"> put documents that follow the right naming convention into DocList Sheet. Remaining files are dumped into Misc Sheet. The folders to be excluded can be configured using &lt;excludeList&gt; elements in --xmlConfigFilePath option.
Refer to the UserGuide for more details on tool usage and configurations</t>
    </r>
  </si>
  <si>
    <t>ISMS</t>
  </si>
  <si>
    <t>ProcessRec</t>
  </si>
  <si>
    <t>CodeOfConduct</t>
  </si>
  <si>
    <t>ClassifiedInfo</t>
  </si>
  <si>
    <t>OrgControls</t>
  </si>
  <si>
    <t>PeopleControls</t>
  </si>
  <si>
    <t>PhysicalControls</t>
  </si>
  <si>
    <t>TechnologicalControls</t>
  </si>
  <si>
    <t>FileNaming convention</t>
  </si>
  <si>
    <t>C</t>
  </si>
  <si>
    <t>Continuity</t>
  </si>
  <si>
    <t>H</t>
  </si>
  <si>
    <t>Health&amp;Safety</t>
  </si>
  <si>
    <t>Sample ISMS file and folder structure:</t>
  </si>
  <si>
    <t>For more details see Parameters sheet</t>
  </si>
  <si>
    <t>Information Security Management System</t>
  </si>
  <si>
    <t>ISMS - DocList</t>
  </si>
  <si>
    <t>General information</t>
  </si>
  <si>
    <t>Reference</t>
  </si>
  <si>
    <t>#0D</t>
  </si>
  <si>
    <t>Version</t>
  </si>
  <si>
    <t>Final</t>
  </si>
  <si>
    <t>Project manager</t>
  </si>
  <si>
    <t>Application date</t>
  </si>
  <si>
    <t>Internal (IN)</t>
  </si>
  <si>
    <t>Document history</t>
  </si>
  <si>
    <t>Date</t>
  </si>
  <si>
    <t>Author</t>
  </si>
  <si>
    <t>Change management</t>
  </si>
  <si>
    <t>None</t>
  </si>
  <si>
    <t>Document List template created for the DocListManager tool.</t>
  </si>
  <si>
    <t>e.g. 1_POL_STA_ITR-InfoSec_v0.1-dow.docx</t>
  </si>
  <si>
    <t>Row Labels</t>
  </si>
  <si>
    <t>Grand Total</t>
  </si>
  <si>
    <t>KPI DocList</t>
  </si>
  <si>
    <t>AA</t>
  </si>
  <si>
    <t>Count of Id</t>
  </si>
  <si>
    <t>iSFilled</t>
  </si>
  <si>
    <t>0</t>
  </si>
  <si>
    <t>Information Security Policy</t>
  </si>
  <si>
    <t>ITR-InfoSec</t>
  </si>
  <si>
    <t>v3.8</t>
  </si>
  <si>
    <t>.docx</t>
  </si>
  <si>
    <t>0_POL_ITR-InfoSec_v3.8.docx</t>
  </si>
  <si>
    <t>itrust</t>
  </si>
  <si>
    <t>N:\CyFORT-RW\5_CS-GRAM\5D_DocListTool\5DC_Implementation\test-example\ISMS\0_ITR-InfoSec\0_POL_ITR-InfoSec\_distributed</t>
  </si>
  <si>
    <t>017G</t>
  </si>
  <si>
    <t>Assessment Template</t>
  </si>
  <si>
    <t>ITR-AssessmtTempl</t>
  </si>
  <si>
    <t>v1.0</t>
  </si>
  <si>
    <t>.xlsx</t>
  </si>
  <si>
    <t>017G_STA_ITR-AssessmtTempl_v1.0.xlsx</t>
  </si>
  <si>
    <t>N:\CyFORT-RW\5_CS-GRAM\5D_DocListTool\5DC_Implementation\test-example\ISMS\1_ITR-ISMS\175_DocMgt\17-5G_AssessmtTempl</t>
  </si>
  <si>
    <t>ID of the parent directory (17-5G) is not a subset of ID of the file = (017G).</t>
  </si>
  <si>
    <t>05-2-A-STA</t>
  </si>
  <si>
    <t>Impact Valuation</t>
  </si>
  <si>
    <t>ITR-ImpactValuation</t>
  </si>
  <si>
    <t>v0.2.3</t>
  </si>
  <si>
    <t>05-2-A-STA_A_ITR-ImpactValuation_v0.2.3.xlsx</t>
  </si>
  <si>
    <t>N:\CyFORT-RW\5_CS-GRAM\5D_DocListTool\5DC_Implementation\test-example\ISMS\1_ITR-ISMS\161_RiskMgmt\161_ITR-RiskMgt</t>
  </si>
  <si>
    <t>ID of the parent directory (161) is not a subset of ID of the file = (05-2-A-STA).</t>
  </si>
  <si>
    <t>0R</t>
  </si>
  <si>
    <t>REP</t>
  </si>
  <si>
    <t>Test Report</t>
  </si>
  <si>
    <t>CyFORT-DRAW-TestReport</t>
  </si>
  <si>
    <t>v0.2</t>
  </si>
  <si>
    <t>.lnk</t>
  </si>
  <si>
    <t>0R_REP_CyFORT-DRAW-TestReport_v0.2-MDV.docx.lnk</t>
  </si>
  <si>
    <t>CyFORT</t>
  </si>
  <si>
    <t>itr-ref</t>
  </si>
  <si>
    <t>N:\CyFORT-RW\5_CS-GRAM\5D_DocListTool\5DC_Implementation\test-example\ISMS\0_ITR-InfoSec\0_POL_ITR-InfoSec</t>
  </si>
  <si>
    <t>Invalid target of shortcut.</t>
  </si>
  <si>
    <t>1</t>
  </si>
  <si>
    <t>ISMS policy</t>
  </si>
  <si>
    <t>ITR-ISMSVer1</t>
  </si>
  <si>
    <t>v1.7.3</t>
  </si>
  <si>
    <t>1_POL_ITR-ISMSVer1_v1.7.3-rpa.docx</t>
  </si>
  <si>
    <t>Internal</t>
  </si>
  <si>
    <t>N:\CyFORT-RW\5_CS-GRAM\5D_DocListTool\5DC_Implementation\test-example\ISMS\1_ITR-ISMS\1_POL_ITR-ISMS</t>
  </si>
  <si>
    <t>Classification of latest approved document in _appr* folder should be Restricted
Duplicate values for this entry (id, title, version, extension is same).
Please archive the old entries in this folder (title, version, ext is same)
Duplicate values for this entry (id, domain, type, extension is same but title = ISMS policy is different).</t>
  </si>
  <si>
    <t>ITR-ISMS</t>
  </si>
  <si>
    <t>1_POL_ITR-ISMS_v1.7.3-cha.docx</t>
  </si>
  <si>
    <t>Duplicate values for this entry (id, title, version, extension is same).
Please archive the old entries in this folder (title, version, ext is same)
Duplicate values for this entry (id, domain, type, extension is same but title = ISMS policy is different).</t>
  </si>
  <si>
    <t>161</t>
  </si>
  <si>
    <t>6</t>
  </si>
  <si>
    <t>Risk management process</t>
  </si>
  <si>
    <t>ITR-RiskMgt</t>
  </si>
  <si>
    <t>v1.1.2</t>
  </si>
  <si>
    <t>161_PRO_ITR-RiskMgt_v1.1.2-CC-rpa.docx</t>
  </si>
  <si>
    <t>N:\CyFORT-RW\5_CS-GRAM\5D_DocListTool\5DC_Implementation\test-example\ISMS\1_ITR-ISMS\161_RiskMgmt\161_ITR-RiskMgt\161_PRO_ITR-RiskMgt</t>
  </si>
  <si>
    <t>161 for ref</t>
  </si>
  <si>
    <t>File '161_PRO_ITR-RiskMgt_v1.1.pdf' found in published ISMS_internal but checksum does not match.
Please archive the old entries in this folder (title, version, ext is same)
Duplicate values for this entry (id, domain, type, extension is same but title = Risk management process is different).</t>
  </si>
  <si>
    <t>v1.1.3</t>
  </si>
  <si>
    <t>161_PRO_ITR-RiskMgt_v1.1.3-rpa.docx</t>
  </si>
  <si>
    <t>Please archive the old entries in this folder (title, version, ext is same)
Duplicate values for this entry (id, domain, type, extension is same but title = Risk management process is different).</t>
  </si>
  <si>
    <t>161T</t>
  </si>
  <si>
    <t>Change a TRICK Service profile</t>
  </si>
  <si>
    <t>TS-ChangeProfil</t>
  </si>
  <si>
    <t>v1.0.1</t>
  </si>
  <si>
    <t>161T_PRO_TS-ChangeProfil_v1.0.1-cha.docx</t>
  </si>
  <si>
    <t>TS</t>
  </si>
  <si>
    <t>Public</t>
  </si>
  <si>
    <t>N:\CyFORT-RW\5_CS-GRAM\5D_DocListTool\5DC_Implementation\test-example\ISMS\1_ITR-ISMS\161_RiskMgmt\161_ITR-RiskMgt\161T_ITR_TRICK\161TU_ITR-TSUserGuide</t>
  </si>
  <si>
    <t>Duplicate values for this entry (id, domain, type, extension is same but title = Change a TRICK Service profile is different).
ID of the parent directory (161TU) is not a subset of ID of the file = (161T).</t>
  </si>
  <si>
    <t>Upgrade measure collection to new version of standard</t>
  </si>
  <si>
    <t>TS-UpgrStd</t>
  </si>
  <si>
    <t>161T_PRO_TS-UpgrStd_v1.0.1-cha.docx</t>
  </si>
  <si>
    <t>Duplicate values for this entry (id, domain, type, extension is same but title = Upgrade measure collection to new version of standard is different).
ID of the parent directory (161TU) is not a subset of ID of the file = (161T).</t>
  </si>
  <si>
    <t>161TAP</t>
  </si>
  <si>
    <t>ITR-RAT-DPIA2024-ActionPlan</t>
  </si>
  <si>
    <t>161TAP_TSE_ITR-RAT-DPIA2024-ActionPlan_v1.0-pre.xlsx</t>
  </si>
  <si>
    <t>N:\CyFORT-RW\5_CS-GRAM\5D_DocListTool\5DC_Implementation\test-example\ISMS\1_ITR-ISMS\161_RiskMgmt\161_ITR-RiskMgt\161T_ITR_TRICK</t>
  </si>
  <si>
    <t>Duplicate values for this entry (id, title, version, extension is same).
Please archive the old entries in this folder (title, version, ext is same)
Duplicate values for this entry (id, domain, type, extension is same but title =  is different).</t>
  </si>
  <si>
    <t>161TB</t>
  </si>
  <si>
    <t>ITR-RAT-DPIA2024-Brainstorming</t>
  </si>
  <si>
    <t>161TB_TSE_ITR-RAT-DPIA2024-Brainstorming_v1.0.xlsx</t>
  </si>
  <si>
    <t>Duplicate values for this entry (id, title, version, extension is same).</t>
  </si>
  <si>
    <t>161TRE</t>
  </si>
  <si>
    <t>ITR-RAT-DPIA2024-RiskEstimation</t>
  </si>
  <si>
    <t>161TRE_TSE_ITR-RAT-DPIA2024-RiskEstimation_v1.0.xlsx</t>
  </si>
  <si>
    <t>161TRRF</t>
  </si>
  <si>
    <t>ITR-RAT-DPIA2024-RRF</t>
  </si>
  <si>
    <t>161TRRF_TSE_ITR-RAT-DPIA2024-RRF_v1.0.xlsx</t>
  </si>
  <si>
    <t>175</t>
  </si>
  <si>
    <t>Document management</t>
  </si>
  <si>
    <t>ITR-DocMgt</t>
  </si>
  <si>
    <t>v4.4.1</t>
  </si>
  <si>
    <t>175_PRO_ITR-DocMgt_v4.4.1-lpi-CC.docx</t>
  </si>
  <si>
    <t>N:\CyFORT-RW\5_CS-GRAM\5D_DocListTool\5DC_Implementation\test-example\ISMS\1_ITR-ISMS\175_DocMgt\175_PRO_ITR-DocMgt</t>
  </si>
  <si>
    <t>175D</t>
  </si>
  <si>
    <t>7</t>
  </si>
  <si>
    <t>5</t>
  </si>
  <si>
    <t>D</t>
  </si>
  <si>
    <t>LaunchCheckPublished</t>
  </si>
  <si>
    <t>v0.1</t>
  </si>
  <si>
    <t>.bat</t>
  </si>
  <si>
    <t>175D_PRO_LaunchCheckPublished_v0.1-cho.bat</t>
  </si>
  <si>
    <t>PS</t>
  </si>
  <si>
    <t>N:\CyFORT-RW\5_CS-GRAM\5D_DocListTool\5DC_Implementation\test-example\ISMS\1_ITR-ISMS\175_DocMgt\175D_PRO_ITR-CheckDistribution</t>
  </si>
  <si>
    <t>175D for ref</t>
  </si>
  <si>
    <t>CheckPublished</t>
  </si>
  <si>
    <t>v0.4</t>
  </si>
  <si>
    <t>.ps1</t>
  </si>
  <si>
    <t>175D_PRO_CheckPublished_v0.4-cho.ps1</t>
  </si>
  <si>
    <t>175G</t>
  </si>
  <si>
    <t>Office 365 guide</t>
  </si>
  <si>
    <t>ITR-OfficeGuide</t>
  </si>
  <si>
    <t>v0.1.8.1</t>
  </si>
  <si>
    <t>175G_STA_ITR-OfficeGuide_v0.1.8.1-ach.docx</t>
  </si>
  <si>
    <t>N:\CyFORT-RW\5_CS-GRAM\5D_DocListTool\5DC_Implementation\test-example\ISMS\1_ITR-ISMS\175_DocMgt\175G_STA_OfficeGuide</t>
  </si>
  <si>
    <t>Please archive the old entries in this folder (title, version, ext is same)
Duplicate values for this entry (id, domain, type, extension is same but title = Office 365 guide is different).</t>
  </si>
  <si>
    <t>175P</t>
  </si>
  <si>
    <t>ITR-PowerPointTempl</t>
  </si>
  <si>
    <t>.pptx</t>
  </si>
  <si>
    <t>175P_STA_ITR-PowerPointTempl_v1.0.pptx</t>
  </si>
  <si>
    <t>N:\CyFORT-RW\5_CS-GRAM\5D_DocListTool\5DC_Implementation\test-example\ISMS\1_ITR-ISMS\175_DocMgt\175P_STA_ITR-PowerPointTempl</t>
  </si>
  <si>
    <t>175Q</t>
  </si>
  <si>
    <t>Quality control of ISMS documents</t>
  </si>
  <si>
    <t>ITR-QualityCheck</t>
  </si>
  <si>
    <t>v1.4</t>
  </si>
  <si>
    <t>175Q_STA_ITR-QualityCheck_v1.4.docx</t>
  </si>
  <si>
    <t>Restricted (RE)</t>
  </si>
  <si>
    <t>N:\CyFORT-RW\5_CS-GRAM\5D_DocListTool\5DC_Implementation\test-example\ISMS\1_ITR-ISMS\175_DocMgt\175Q_STA_ITR-QualityCheck\_distributed</t>
  </si>
  <si>
    <t>Classification of latest distributed document in _distr* folder should be Internal or public File '175Q_STA_ITR-QualityCheck_v1.4.pdf' not found in published ISMS_internal.</t>
  </si>
  <si>
    <t>175V</t>
  </si>
  <si>
    <t>Viso template</t>
  </si>
  <si>
    <t>ITR-VisioTemplate</t>
  </si>
  <si>
    <t>v1.1.5</t>
  </si>
  <si>
    <t>.vsdx</t>
  </si>
  <si>
    <t>175V_STA_ITR-VisioTemplate_v1.1.5-ise.vsdx</t>
  </si>
  <si>
    <t>N:\CyFORT-RW\5_CS-GRAM\5D_DocListTool\5DC_Implementation\test-example\ISMS\1_ITR-ISMS\175_DocMgt\175V_STA_ITR-VisioTempl</t>
  </si>
  <si>
    <t>File '175V_STA_ITR-VisioTemplate_v1.1.pdf' not found in published ISMS_internal.</t>
  </si>
  <si>
    <t>175W</t>
  </si>
  <si>
    <t>Word Template</t>
  </si>
  <si>
    <t>ITR-WordTempl</t>
  </si>
  <si>
    <t>v1.8</t>
  </si>
  <si>
    <t>.dotx</t>
  </si>
  <si>
    <t>175W_STA_ITR-WordTempl_v1.8-20240430-cha.dotx</t>
  </si>
  <si>
    <t>N:\CyFORT-RW\5_CS-GRAM\5D_DocListTool\5DC_Implementation\test-example\ISMS\1_ITR-ISMS\175_DocMgt\175W_STA_ITR-WordTempl</t>
  </si>
  <si>
    <t>175X</t>
  </si>
  <si>
    <t>XLS template</t>
  </si>
  <si>
    <t>ITR-XlsTempl</t>
  </si>
  <si>
    <t>v2.5</t>
  </si>
  <si>
    <t>.xlsm</t>
  </si>
  <si>
    <t>175X_STA_ITR-XlsTempl_v2.5.xlsm</t>
  </si>
  <si>
    <t>itr</t>
  </si>
  <si>
    <t>N:\CyFORT-RW\5_CS-GRAM\5D_DocListTool\5DC_Implementation\test-example\ISMS\1_ITR-ISMS\175_DocMgt\175X_STA_ITR-XlsTempl</t>
  </si>
  <si>
    <t>File '175X_STA_ITR-XlsTempl_v2.4.pdf' not found in published ISMS_internal.</t>
  </si>
  <si>
    <t>18</t>
  </si>
  <si>
    <t>Manage Action list</t>
  </si>
  <si>
    <t>ITR-ManageActions</t>
  </si>
  <si>
    <t>v1.5.2</t>
  </si>
  <si>
    <t>18_PRO_ITR-ManageActions_v1.5.2-ach.docx</t>
  </si>
  <si>
    <t>N:\CyFORT-RW\5_CS-GRAM\5D_DocListTool\5DC_Implementation\test-example\ISMS\1_ITR-ISMS\18_PRO_ITR-ManageActions</t>
  </si>
  <si>
    <t>Classification of latest approved document in _appr* folder should be Restricted File '18_PRO_ITR-ManageActions_v1.5.pdf' not found in published ISMS_internal.
Duplicate values for this entry (id, title, version, extension is same).
Please archive the old entries in this folder (title, version, ext is same)
Duplicate values for this entry (id, domain, type, extension is same but title = Manage Action list is different).</t>
  </si>
  <si>
    <t>18_PRO_ITR-ManageActions_v1.5.2-rpa.docx</t>
  </si>
  <si>
    <t>Duplicate values for this entry (id, title, version, extension is same).
Please archive the old entries in this folder (title, version, ext is same)
Duplicate values for this entry (id, domain, type, extension is same but title = Manage Action list is different).</t>
  </si>
  <si>
    <t>1R</t>
  </si>
  <si>
    <t>1R_REP_CyFORT-DRAW-TestReport_v0.2-MDV.docx.lnk</t>
  </si>
  <si>
    <t>520G</t>
  </si>
  <si>
    <t>v1.1</t>
  </si>
  <si>
    <t>520G_STA_ITR-AssessmtTempl_v1.1.xlsx</t>
  </si>
  <si>
    <t>ID of the parent directory (17-5G) is not a subset of ID of the file = (520G).</t>
  </si>
  <si>
    <t>1P</t>
  </si>
  <si>
    <t>1P_REP_CyFORT-DRAW-TestReport_v0.2-MDV.docx.lnk</t>
  </si>
  <si>
    <t>520X</t>
  </si>
  <si>
    <t>520X_STA_ITR-AssessmtTempl_v1.1.xlsx</t>
  </si>
  <si>
    <t>.txt</t>
  </si>
  <si>
    <t>Readme_withdaw_reason.txt</t>
  </si>
  <si>
    <t>175P_STA_ITR-PowerPointTempl_v.1.1.pptx</t>
  </si>
  <si>
    <t>.pdf</t>
  </si>
  <si>
    <t>visio-creating shapes.pdf</t>
  </si>
  <si>
    <t>.vssx</t>
  </si>
  <si>
    <t>ITR-UMLClass_v1.0.vssx</t>
  </si>
  <si>
    <t>N:\CyFORT-RW\5_CS-GRAM\5D_DocListTool\5DC_Implementation\test-example\ISMS\1_ITR-ISMS\175_DocMgt\175V_STA_ITR-VisioTempl\stencil</t>
  </si>
  <si>
    <t>Word useful hints..txt</t>
  </si>
  <si>
    <t>3_REP-MDV.docx.lnk</t>
  </si>
  <si>
    <t>N:\CyFORT-RW\5_CS-GRAM\5D_DocListTool\5DC_Implementation\test-example\ISMS\3_ITR-CodeConduct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</si>
</sst>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dd/mm/yy;@"/>
    <numFmt numFmtId="165" formatCode="dd\.mm\.yy"/>
  </numFmts>
  <fonts count="26" x14ac:knownFonts="1">
    <font>
      <sz val="8"/>
      <color theme="1"/>
      <name val="Corbel"/>
      <family val="2"/>
      <scheme val="minor"/>
    </font>
    <font>
      <sz val="11"/>
      <color theme="1"/>
      <name val="Corbel"/>
      <family val="2"/>
    </font>
    <font>
      <sz val="18"/>
      <color theme="3"/>
      <name val="Century"/>
      <family val="2"/>
      <scheme val="major"/>
    </font>
    <font>
      <b/>
      <sz val="9"/>
      <color theme="1"/>
      <name val="Corbel"/>
      <family val="2"/>
    </font>
    <font>
      <b/>
      <sz val="16"/>
      <name val="Century"/>
      <family val="2"/>
      <scheme val="major"/>
    </font>
    <font>
      <b/>
      <sz val="12"/>
      <name val="Century"/>
      <family val="2"/>
      <scheme val="major"/>
    </font>
    <font>
      <b/>
      <sz val="11"/>
      <name val="Century"/>
      <family val="2"/>
      <scheme val="major"/>
    </font>
    <font>
      <sz val="10"/>
      <color theme="1"/>
      <name val="Corbel"/>
      <family val="2"/>
      <scheme val="minor"/>
    </font>
    <font>
      <b/>
      <sz val="10"/>
      <color theme="1"/>
      <name val="Century"/>
      <family val="2"/>
      <scheme val="major"/>
    </font>
    <font>
      <b/>
      <sz val="12"/>
      <color theme="1"/>
      <name val="Century"/>
      <family val="2"/>
      <scheme val="major"/>
    </font>
    <font>
      <sz val="9"/>
      <color theme="0" tint="-0.499984740745262"/>
      <name val="Corbel"/>
      <family val="2"/>
      <scheme val="minor"/>
    </font>
    <font>
      <b/>
      <sz val="18"/>
      <name val="Century"/>
      <family val="2"/>
      <scheme val="major"/>
    </font>
    <font>
      <b/>
      <sz val="10"/>
      <name val="Century"/>
      <family val="2"/>
      <scheme val="major"/>
    </font>
    <font>
      <sz val="10"/>
      <name val="Century"/>
      <family val="2"/>
      <scheme val="major"/>
    </font>
    <font>
      <b/>
      <sz val="9"/>
      <color indexed="81"/>
      <name val="Tahoma"/>
      <family val="2"/>
    </font>
    <font>
      <sz val="9"/>
      <color indexed="81"/>
      <name val="Tahoma"/>
      <family val="2"/>
    </font>
    <font>
      <sz val="9"/>
      <name val="Corbel"/>
      <family val="2"/>
    </font>
    <font>
      <strike/>
      <sz val="10"/>
      <name val="Century"/>
      <family val="2"/>
      <scheme val="major"/>
    </font>
    <font>
      <sz val="15"/>
      <color rgb="FF1F1F1F"/>
      <name val="Arial"/>
      <family val="2"/>
    </font>
    <font>
      <sz val="18"/>
      <color theme="1"/>
      <name val="Corbel"/>
      <family val="2"/>
    </font>
    <font>
      <sz val="10"/>
      <color theme="1"/>
      <name val="Corbel"/>
      <family val="2"/>
    </font>
    <font>
      <u/>
      <sz val="10"/>
      <color theme="1"/>
      <name val="Corbel"/>
      <family val="2"/>
    </font>
    <font>
      <b/>
      <sz val="10"/>
      <color indexed="8"/>
      <name val="Corbel"/>
      <family val="2"/>
    </font>
    <font>
      <sz val="10"/>
      <color rgb="FF0000FF"/>
      <name val="Corbel"/>
      <family val="2"/>
      <scheme val="minor"/>
    </font>
    <font>
      <sz val="10"/>
      <color rgb="FFFF0000"/>
      <name val="Corbel"/>
      <family val="2"/>
      <scheme val="minor"/>
    </font>
    <font>
      <sz val="9"/>
      <color rgb="FFFF0000"/>
      <name val="Corbel"/>
      <family val="2"/>
    </font>
  </fonts>
  <fills count="16">
    <fill>
      <patternFill patternType="none"/>
    </fill>
    <fill>
      <patternFill patternType="gray125"/>
    </fill>
    <fill>
      <patternFill patternType="solid">
        <fgColor theme="2"/>
        <bgColor indexed="64"/>
      </patternFill>
    </fill>
    <fill>
      <patternFill patternType="solid">
        <fgColor theme="4"/>
        <bgColor indexed="64"/>
      </patternFill>
    </fill>
    <fill>
      <patternFill patternType="solid">
        <fgColor theme="3" tint="0.39994506668294322"/>
        <bgColor indexed="64"/>
      </patternFill>
    </fill>
    <fill>
      <patternFill patternType="solid">
        <fgColor theme="3" tint="0.59996337778862885"/>
        <bgColor indexed="64"/>
      </patternFill>
    </fill>
    <fill>
      <patternFill patternType="solid">
        <fgColor theme="3" tint="0.79998168889431442"/>
        <bgColor indexed="64"/>
      </patternFill>
    </fill>
    <fill>
      <patternFill patternType="solid">
        <fgColor theme="2" tint="-0.499984740745262"/>
        <bgColor indexed="64"/>
      </patternFill>
    </fill>
    <fill>
      <patternFill patternType="solid">
        <fgColor theme="2" tint="-0.24994659260841701"/>
        <bgColor indexed="64"/>
      </patternFill>
    </fill>
    <fill>
      <patternFill patternType="solid">
        <fgColor theme="2" tint="-9.9948118533890809E-2"/>
        <bgColor indexed="64"/>
      </patternFill>
    </fill>
    <fill>
      <patternFill patternType="solid">
        <fgColor theme="3" tint="0.59999389629810485"/>
        <bgColor indexed="64"/>
      </patternFill>
    </fill>
    <fill>
      <patternFill patternType="solid">
        <fgColor rgb="FFEBFAFF"/>
        <bgColor indexed="64"/>
      </patternFill>
    </fill>
    <fill>
      <patternFill patternType="solid">
        <fgColor theme="0" tint="-0.499984740745262"/>
        <bgColor indexed="64"/>
      </patternFill>
    </fill>
    <fill>
      <patternFill patternType="solid">
        <fgColor rgb="FF00B0F0"/>
        <bgColor indexed="64"/>
      </patternFill>
    </fill>
    <fill>
      <patternFill patternType="solid">
        <fgColor theme="0"/>
        <bgColor indexed="64"/>
      </patternFill>
    </fill>
    <fill>
      <patternFill patternType="solid">
        <fgColor theme="3"/>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theme="4"/>
      </top>
      <bottom style="double">
        <color theme="4"/>
      </bottom>
      <diagonal/>
    </border>
    <border>
      <left style="thin">
        <color theme="4"/>
      </left>
      <right style="thin">
        <color theme="4"/>
      </right>
      <top style="thin">
        <color theme="4"/>
      </top>
      <bottom style="thin">
        <color theme="4"/>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2" tint="-0.499984740745262"/>
      </left>
      <right/>
      <top/>
      <bottom/>
      <diagonal/>
    </border>
    <border>
      <left style="thin">
        <color auto="1"/>
      </left>
      <right style="thin">
        <color auto="1"/>
      </right>
      <top style="thin">
        <color auto="1"/>
      </top>
      <bottom/>
      <diagonal/>
    </border>
    <border>
      <left style="thin">
        <color theme="0" tint="-0.14999847407452621"/>
      </left>
      <right style="thin">
        <color theme="0" tint="-0.14999847407452621"/>
      </right>
      <top style="thin">
        <color theme="0" tint="-0.14999847407452621"/>
      </top>
      <bottom/>
      <diagonal/>
    </border>
    <border>
      <left/>
      <right/>
      <top style="thin">
        <color theme="0" tint="-0.14999847407452621"/>
      </top>
      <bottom style="thin">
        <color theme="0" tint="-0.14999847407452621"/>
      </bottom>
      <diagonal/>
    </border>
    <border>
      <left/>
      <right/>
      <top/>
      <bottom style="thin">
        <color auto="1"/>
      </bottom>
      <diagonal/>
    </border>
    <border>
      <left style="thin">
        <color auto="1"/>
      </left>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style="thin">
        <color auto="1"/>
      </right>
      <top/>
      <bottom/>
      <diagonal/>
    </border>
    <border>
      <left style="thin">
        <color auto="1"/>
      </left>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bottom style="thin">
        <color auto="1"/>
      </bottom>
      <diagonal/>
    </border>
    <border>
      <left style="thin">
        <color auto="1"/>
      </left>
      <right/>
      <top style="hair">
        <color auto="1"/>
      </top>
      <bottom style="thin">
        <color auto="1"/>
      </bottom>
      <diagonal/>
    </border>
    <border>
      <left style="thin">
        <color auto="1"/>
      </left>
      <right style="thin">
        <color auto="1"/>
      </right>
      <top style="hair">
        <color auto="1"/>
      </top>
      <bottom style="thin">
        <color auto="1"/>
      </bottom>
      <diagonal/>
    </border>
    <border>
      <left/>
      <right/>
      <top style="thin">
        <color auto="1"/>
      </top>
      <bottom style="thin">
        <color auto="1"/>
      </bottom>
      <diagonal/>
    </border>
    <border>
      <left style="thin">
        <color theme="3" tint="-0.249977111117893"/>
      </left>
      <right/>
      <top style="thin">
        <color auto="1"/>
      </top>
      <bottom/>
      <diagonal/>
    </border>
  </borders>
  <cellStyleXfs count="20">
    <xf numFmtId="0" fontId="0" fillId="0" borderId="0"/>
    <xf numFmtId="0" fontId="11" fillId="4" borderId="1" applyNumberFormat="0" applyProtection="0">
      <alignment horizontal="center" vertical="center"/>
    </xf>
    <xf numFmtId="0" fontId="4" fillId="5" borderId="1" applyNumberFormat="0" applyProtection="0">
      <alignment horizontal="center" vertical="center"/>
    </xf>
    <xf numFmtId="0" fontId="5" fillId="6" borderId="1" applyNumberFormat="0" applyProtection="0">
      <alignment horizontal="left" vertical="center" indent="1"/>
    </xf>
    <xf numFmtId="0" fontId="6" fillId="2" borderId="1" applyNumberFormat="0" applyProtection="0">
      <alignment horizontal="left" vertical="center" indent="1"/>
    </xf>
    <xf numFmtId="0" fontId="7" fillId="0" borderId="0" applyFill="0" applyBorder="0" applyProtection="0">
      <alignment horizontal="left" vertical="top" wrapText="1" indent="1"/>
    </xf>
    <xf numFmtId="0" fontId="2" fillId="0" borderId="0" applyNumberFormat="0" applyFill="0" applyBorder="0" applyAlignment="0" applyProtection="0"/>
    <xf numFmtId="0" fontId="3" fillId="0" borderId="3" applyNumberFormat="0" applyFill="0" applyAlignment="0" applyProtection="0"/>
    <xf numFmtId="164" fontId="7" fillId="0" borderId="2" applyFill="0" applyBorder="0">
      <alignment horizontal="left" vertical="top" indent="1"/>
    </xf>
    <xf numFmtId="0" fontId="10" fillId="0" borderId="1">
      <alignment horizontal="right" wrapText="1" indent="1"/>
    </xf>
    <xf numFmtId="4" fontId="7" fillId="0" borderId="0" applyFill="0" applyBorder="0">
      <alignment horizontal="right" vertical="top" wrapText="1" indent="1"/>
    </xf>
    <xf numFmtId="0" fontId="7" fillId="0" borderId="2" applyFill="0" applyBorder="0" applyProtection="0">
      <alignment horizontal="left" vertical="top" indent="1"/>
    </xf>
    <xf numFmtId="0" fontId="9" fillId="3" borderId="4">
      <alignment horizontal="left" vertical="center" indent="1"/>
    </xf>
    <xf numFmtId="49" fontId="6" fillId="7" borderId="1">
      <alignment horizontal="left" textRotation="90" wrapText="1"/>
    </xf>
    <xf numFmtId="49" fontId="12" fillId="8" borderId="1">
      <alignment horizontal="left" textRotation="90" wrapText="1"/>
    </xf>
    <xf numFmtId="49" fontId="12" fillId="9" borderId="1">
      <alignment horizontal="left" textRotation="90" wrapText="1"/>
    </xf>
    <xf numFmtId="49" fontId="13" fillId="2" borderId="1">
      <alignment horizontal="left" textRotation="90" wrapText="1"/>
    </xf>
    <xf numFmtId="0" fontId="8" fillId="10" borderId="1" applyNumberFormat="0" applyFont="0" applyFill="0" applyBorder="0" applyProtection="0">
      <alignment horizontal="center" vertical="center" wrapText="1"/>
    </xf>
    <xf numFmtId="0" fontId="6" fillId="11" borderId="1" applyNumberFormat="0" applyProtection="0">
      <alignment horizontal="left" vertical="center" indent="1"/>
    </xf>
    <xf numFmtId="165" fontId="7" fillId="0" borderId="2" applyFill="0" applyBorder="0">
      <alignment horizontal="left" vertical="top" indent="1"/>
    </xf>
  </cellStyleXfs>
  <cellXfs count="92">
    <xf numFmtId="0" fontId="0" fillId="0" borderId="0" xfId="0"/>
    <xf numFmtId="0" fontId="1" fillId="0" borderId="0" xfId="0" applyFont="1" applyAlignment="1">
      <alignment vertical="center"/>
    </xf>
    <xf numFmtId="0" fontId="5" fillId="6" borderId="1" xfId="3">
      <alignment horizontal="left" vertical="center" indent="1"/>
    </xf>
    <xf numFmtId="165" fontId="7" fillId="0" borderId="1" xfId="19" applyFill="1" applyBorder="1">
      <alignment horizontal="left" vertical="top" indent="1"/>
    </xf>
    <xf numFmtId="0" fontId="7" fillId="0" borderId="0" xfId="11" applyFill="1" applyBorder="1">
      <alignment horizontal="left" vertical="top" indent="1"/>
    </xf>
    <xf numFmtId="0" fontId="7" fillId="0" borderId="2" xfId="11" applyFill="1">
      <alignment horizontal="left" vertical="top" indent="1"/>
    </xf>
    <xf numFmtId="0" fontId="7" fillId="0" borderId="1" xfId="11" applyFill="1" applyBorder="1">
      <alignment horizontal="left" vertical="top" indent="1"/>
    </xf>
    <xf numFmtId="0" fontId="7" fillId="0" borderId="1" xfId="5" applyFill="1" applyBorder="1" applyAlignment="1">
      <alignment horizontal="left" vertical="top" indent="1"/>
    </xf>
    <xf numFmtId="0" fontId="7" fillId="6" borderId="1" xfId="11" applyFill="1" applyBorder="1">
      <alignment horizontal="left" vertical="top" indent="1"/>
    </xf>
    <xf numFmtId="0" fontId="6" fillId="0" borderId="1" xfId="18" applyFill="1" applyAlignment="1">
      <alignment horizontal="left" vertical="center"/>
    </xf>
    <xf numFmtId="0" fontId="13" fillId="0" borderId="0" xfId="5" applyFont="1" applyFill="1" applyAlignment="1">
      <alignment horizontal="left" vertical="top"/>
    </xf>
    <xf numFmtId="0" fontId="7" fillId="0" borderId="0" xfId="11" quotePrefix="1" applyFill="1" applyBorder="1">
      <alignment horizontal="left" vertical="top" indent="1"/>
    </xf>
    <xf numFmtId="0" fontId="16" fillId="0" borderId="0" xfId="0" applyFont="1" applyAlignment="1">
      <alignment vertical="center"/>
    </xf>
    <xf numFmtId="0" fontId="17" fillId="0" borderId="0" xfId="5" applyFont="1" applyFill="1" applyAlignment="1">
      <alignment horizontal="left" vertical="top"/>
    </xf>
    <xf numFmtId="0" fontId="13" fillId="12" borderId="0" xfId="5" applyFont="1" applyFill="1" applyAlignment="1">
      <alignment horizontal="left" vertical="top"/>
    </xf>
    <xf numFmtId="0" fontId="7" fillId="0" borderId="0" xfId="11" applyFill="1" applyBorder="1" applyProtection="1">
      <alignment horizontal="left" vertical="top" indent="1"/>
    </xf>
    <xf numFmtId="0" fontId="17" fillId="0" borderId="0" xfId="5" applyFont="1" applyFill="1" applyAlignment="1" applyProtection="1">
      <alignment horizontal="left" vertical="top"/>
      <protection locked="0"/>
    </xf>
    <xf numFmtId="0" fontId="7" fillId="0" borderId="0" xfId="0" applyFont="1" applyAlignment="1">
      <alignment horizontal="left" vertical="top" indent="1"/>
    </xf>
    <xf numFmtId="0" fontId="7" fillId="0" borderId="1" xfId="0" applyFont="1" applyBorder="1" applyAlignment="1">
      <alignment horizontal="left" vertical="top" indent="1"/>
    </xf>
    <xf numFmtId="165" fontId="7" fillId="0" borderId="1" xfId="0" applyNumberFormat="1" applyFont="1" applyBorder="1" applyAlignment="1">
      <alignment horizontal="left" vertical="top" indent="1"/>
    </xf>
    <xf numFmtId="165" fontId="7" fillId="0" borderId="0" xfId="19" applyFill="1" applyBorder="1">
      <alignment horizontal="left" vertical="top" indent="1"/>
    </xf>
    <xf numFmtId="0" fontId="7" fillId="0" borderId="0" xfId="11" applyBorder="1">
      <alignment horizontal="left" vertical="top" indent="1"/>
    </xf>
    <xf numFmtId="164" fontId="7" fillId="0" borderId="1" xfId="8" applyFill="1" applyBorder="1">
      <alignment horizontal="left" vertical="top" indent="1"/>
    </xf>
    <xf numFmtId="0" fontId="1" fillId="13" borderId="5" xfId="0" applyFont="1" applyFill="1" applyBorder="1" applyAlignment="1">
      <alignment vertical="center"/>
    </xf>
    <xf numFmtId="0" fontId="0" fillId="13" borderId="0" xfId="0" applyFill="1"/>
    <xf numFmtId="0" fontId="1" fillId="13" borderId="0" xfId="0" applyFont="1" applyFill="1" applyAlignment="1">
      <alignment vertical="center"/>
    </xf>
    <xf numFmtId="0" fontId="7" fillId="0" borderId="0" xfId="5">
      <alignment horizontal="left" vertical="top" wrapText="1" indent="1"/>
    </xf>
    <xf numFmtId="0" fontId="7" fillId="0" borderId="0" xfId="5" applyFill="1">
      <alignment horizontal="left" vertical="top" wrapText="1" indent="1"/>
    </xf>
    <xf numFmtId="0" fontId="19" fillId="14" borderId="6" xfId="0" applyFont="1" applyFill="1" applyBorder="1" applyAlignment="1">
      <alignment vertical="center"/>
    </xf>
    <xf numFmtId="0" fontId="7" fillId="0" borderId="0" xfId="0" applyFont="1"/>
    <xf numFmtId="0" fontId="20" fillId="0" borderId="0" xfId="0" applyFont="1" applyAlignment="1">
      <alignment vertical="center"/>
    </xf>
    <xf numFmtId="0" fontId="1" fillId="0" borderId="9" xfId="0" applyFont="1" applyBorder="1" applyAlignment="1">
      <alignment vertical="center"/>
    </xf>
    <xf numFmtId="0" fontId="4" fillId="5" borderId="1" xfId="2">
      <alignment horizontal="center" vertical="center"/>
    </xf>
    <xf numFmtId="0" fontId="19" fillId="0" borderId="10" xfId="0" applyFont="1" applyBorder="1" applyAlignment="1">
      <alignment vertical="center"/>
    </xf>
    <xf numFmtId="0" fontId="19" fillId="0" borderId="0" xfId="0" applyFont="1" applyAlignment="1">
      <alignment vertical="center"/>
    </xf>
    <xf numFmtId="0" fontId="6" fillId="2" borderId="1" xfId="4">
      <alignment horizontal="left" vertical="center" indent="1"/>
    </xf>
    <xf numFmtId="164" fontId="7" fillId="0" borderId="21" xfId="8" applyFill="1" applyBorder="1">
      <alignment horizontal="left" vertical="top" indent="1"/>
    </xf>
    <xf numFmtId="0" fontId="7" fillId="0" borderId="1" xfId="5" applyFill="1" applyBorder="1">
      <alignment horizontal="left" vertical="top" wrapText="1" indent="1"/>
    </xf>
    <xf numFmtId="0" fontId="7" fillId="0" borderId="2" xfId="5" applyFill="1" applyBorder="1">
      <alignment horizontal="left" vertical="top" wrapText="1" indent="1"/>
    </xf>
    <xf numFmtId="0" fontId="7" fillId="5" borderId="1" xfId="11" applyFill="1" applyBorder="1">
      <alignment horizontal="left" vertical="top" indent="1"/>
    </xf>
    <xf numFmtId="0" fontId="7" fillId="0" borderId="20" xfId="5" applyFill="1" applyBorder="1">
      <alignment horizontal="left" vertical="top" wrapText="1" indent="1"/>
    </xf>
    <xf numFmtId="49" fontId="7" fillId="0" borderId="0" xfId="11" applyNumberFormat="1" applyFill="1" applyBorder="1">
      <alignment horizontal="left" vertical="top" inden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16" fillId="0" borderId="1" xfId="0" applyFont="1" applyBorder="1" applyAlignment="1">
      <alignment horizontal="left" vertical="center"/>
    </xf>
    <xf numFmtId="0" fontId="16" fillId="0" borderId="0" xfId="5" applyFont="1" applyFill="1" applyAlignment="1">
      <alignment horizontal="left" vertical="center"/>
    </xf>
    <xf numFmtId="49" fontId="7" fillId="0" borderId="0" xfId="11" quotePrefix="1" applyNumberFormat="1" applyFill="1" applyBorder="1">
      <alignment horizontal="left" vertical="top" indent="1"/>
    </xf>
    <xf numFmtId="49" fontId="5" fillId="6" borderId="1" xfId="3" applyNumberFormat="1">
      <alignment horizontal="left" vertical="center" indent="1"/>
    </xf>
    <xf numFmtId="49" fontId="7" fillId="0" borderId="0" xfId="0" applyNumberFormat="1" applyFont="1" applyAlignment="1">
      <alignment horizontal="left" vertical="top" indent="1"/>
    </xf>
    <xf numFmtId="49" fontId="7" fillId="0" borderId="0" xfId="11" applyNumberFormat="1" applyBorder="1">
      <alignment horizontal="left" vertical="top" indent="1"/>
    </xf>
    <xf numFmtId="14" fontId="7" fillId="0" borderId="1" xfId="19" applyNumberFormat="1" applyFill="1" applyBorder="1">
      <alignment horizontal="left" vertical="top" indent="1"/>
    </xf>
    <xf numFmtId="14" fontId="7" fillId="0" borderId="1" xfId="8" applyNumberFormat="1" applyFill="1" applyBorder="1">
      <alignment horizontal="left" vertical="top" indent="1"/>
    </xf>
    <xf numFmtId="49" fontId="23" fillId="0" borderId="0" xfId="11" quotePrefix="1" applyNumberFormat="1" applyFont="1" applyFill="1" applyBorder="1">
      <alignment horizontal="left" vertical="top" indent="1"/>
    </xf>
    <xf numFmtId="0" fontId="23" fillId="0" borderId="0" xfId="11" applyFont="1" applyFill="1" applyBorder="1">
      <alignment horizontal="left" vertical="top" indent="1"/>
    </xf>
    <xf numFmtId="0" fontId="23" fillId="0" borderId="2" xfId="11" applyFont="1" applyFill="1">
      <alignment horizontal="left" vertical="top" indent="1"/>
    </xf>
    <xf numFmtId="0" fontId="23" fillId="0" borderId="1" xfId="11" applyFont="1" applyFill="1" applyBorder="1">
      <alignment horizontal="left" vertical="top" indent="1"/>
    </xf>
    <xf numFmtId="14" fontId="23" fillId="0" borderId="1" xfId="19" applyNumberFormat="1" applyFont="1" applyFill="1" applyBorder="1">
      <alignment horizontal="left" vertical="top" indent="1"/>
    </xf>
    <xf numFmtId="164" fontId="23" fillId="0" borderId="1" xfId="8" applyFont="1" applyFill="1" applyBorder="1">
      <alignment horizontal="left" vertical="top" indent="1"/>
    </xf>
    <xf numFmtId="0" fontId="23" fillId="0" borderId="1" xfId="5" applyFont="1" applyFill="1" applyBorder="1" applyAlignment="1">
      <alignment horizontal="left" vertical="top" indent="1"/>
    </xf>
    <xf numFmtId="14" fontId="23" fillId="0" borderId="1" xfId="8" applyNumberFormat="1" applyFont="1" applyFill="1" applyBorder="1">
      <alignment horizontal="left" vertical="top" indent="1"/>
    </xf>
    <xf numFmtId="49" fontId="23" fillId="0" borderId="0" xfId="11" applyNumberFormat="1" applyFont="1" applyFill="1" applyBorder="1">
      <alignment horizontal="left" vertical="top" indent="1"/>
    </xf>
    <xf numFmtId="49" fontId="24" fillId="0" borderId="0" xfId="11" applyNumberFormat="1" applyFont="1" applyFill="1" applyBorder="1">
      <alignment horizontal="left" vertical="top" indent="1"/>
    </xf>
    <xf numFmtId="0" fontId="24" fillId="0" borderId="0" xfId="11" applyFont="1" applyFill="1" applyBorder="1">
      <alignment horizontal="left" vertical="top" indent="1"/>
    </xf>
    <xf numFmtId="0" fontId="24" fillId="0" borderId="2" xfId="11" applyFont="1" applyFill="1">
      <alignment horizontal="left" vertical="top" indent="1"/>
    </xf>
    <xf numFmtId="0" fontId="24" fillId="0" borderId="1" xfId="11" applyFont="1" applyFill="1" applyBorder="1">
      <alignment horizontal="left" vertical="top" indent="1"/>
    </xf>
    <xf numFmtId="14" fontId="24" fillId="0" borderId="1" xfId="19" applyNumberFormat="1" applyFont="1" applyFill="1" applyBorder="1">
      <alignment horizontal="left" vertical="top" indent="1"/>
    </xf>
    <xf numFmtId="164" fontId="24" fillId="0" borderId="1" xfId="8" applyFont="1" applyFill="1" applyBorder="1">
      <alignment horizontal="left" vertical="top" indent="1"/>
    </xf>
    <xf numFmtId="0" fontId="24" fillId="0" borderId="1" xfId="5" applyFont="1" applyFill="1" applyBorder="1" applyAlignment="1">
      <alignment horizontal="left" vertical="top" indent="1"/>
    </xf>
    <xf numFmtId="14" fontId="24" fillId="0" borderId="1" xfId="8" applyNumberFormat="1" applyFont="1" applyFill="1" applyBorder="1">
      <alignment horizontal="left" vertical="top" indent="1"/>
    </xf>
    <xf numFmtId="0" fontId="25" fillId="0" borderId="0" xfId="5" applyFont="1" applyFill="1" applyAlignment="1">
      <alignment horizontal="left" vertical="center"/>
    </xf>
    <xf numFmtId="0" fontId="24" fillId="0" borderId="0" xfId="11" applyFont="1" applyFill="1" applyBorder="1" applyAlignment="1">
      <alignment horizontal="left" vertical="top" wrapText="1" indent="1"/>
    </xf>
    <xf numFmtId="0" fontId="5" fillId="6" borderId="1" xfId="3">
      <alignment horizontal="left" vertical="center" indent="1"/>
    </xf>
    <xf numFmtId="0" fontId="6" fillId="2" borderId="14" xfId="4" applyBorder="1" applyAlignment="1">
      <alignment horizontal="right" vertical="center" indent="1"/>
    </xf>
    <xf numFmtId="164" fontId="7" fillId="0" borderId="15" xfId="8" applyFill="1" applyBorder="1">
      <alignment horizontal="left" vertical="top" indent="1"/>
    </xf>
    <xf numFmtId="164" fontId="7" fillId="0" borderId="16" xfId="8" applyFill="1" applyBorder="1">
      <alignment horizontal="left" vertical="top" indent="1"/>
    </xf>
    <xf numFmtId="0" fontId="6" fillId="2" borderId="17" xfId="4" applyBorder="1" applyAlignment="1">
      <alignment horizontal="right" vertical="center" indent="1"/>
    </xf>
    <xf numFmtId="0" fontId="7" fillId="0" borderId="18" xfId="5" applyFill="1" applyBorder="1">
      <alignment horizontal="left" vertical="top" wrapText="1" indent="1"/>
    </xf>
    <xf numFmtId="0" fontId="7" fillId="0" borderId="19" xfId="5" applyFill="1" applyBorder="1">
      <alignment horizontal="left" vertical="top" wrapText="1" indent="1"/>
    </xf>
    <xf numFmtId="0" fontId="22" fillId="0" borderId="0" xfId="0" applyFont="1" applyAlignment="1">
      <alignment horizontal="left" vertical="center"/>
    </xf>
    <xf numFmtId="0" fontId="1" fillId="0" borderId="11" xfId="0" applyFont="1" applyBorder="1" applyAlignment="1">
      <alignment horizontal="center" vertical="center"/>
    </xf>
    <xf numFmtId="0" fontId="7" fillId="0" borderId="15" xfId="5" applyFill="1" applyBorder="1">
      <alignment horizontal="left" vertical="top" wrapText="1" indent="1"/>
    </xf>
    <xf numFmtId="0" fontId="7" fillId="0" borderId="16" xfId="5" applyFill="1" applyBorder="1">
      <alignment horizontal="left" vertical="top" wrapText="1" indent="1"/>
    </xf>
    <xf numFmtId="0" fontId="11" fillId="4" borderId="8" xfId="1" applyBorder="1">
      <alignment horizontal="center" vertical="center"/>
    </xf>
    <xf numFmtId="0" fontId="4" fillId="5" borderId="1" xfId="2">
      <alignment horizontal="center" vertical="center"/>
    </xf>
    <xf numFmtId="0" fontId="6" fillId="2" borderId="8" xfId="4" applyBorder="1" applyAlignment="1">
      <alignment horizontal="right" vertical="center" indent="1"/>
    </xf>
    <xf numFmtId="0" fontId="7" fillId="0" borderId="12" xfId="5" applyFill="1" applyBorder="1">
      <alignment horizontal="left" vertical="top" wrapText="1" indent="1"/>
    </xf>
    <xf numFmtId="0" fontId="7" fillId="0" borderId="13" xfId="5" applyFill="1" applyBorder="1">
      <alignment horizontal="left" vertical="top" wrapText="1" indent="1"/>
    </xf>
    <xf numFmtId="0" fontId="20" fillId="0" borderId="0" xfId="0" applyFont="1" applyAlignment="1">
      <alignment horizontal="left" vertical="top" wrapText="1"/>
    </xf>
    <xf numFmtId="0" fontId="1" fillId="15" borderId="7" xfId="0" applyFont="1" applyFill="1" applyBorder="1" applyAlignment="1">
      <alignment vertical="center"/>
    </xf>
    <xf numFmtId="0" fontId="0" fillId="0" borderId="0" xfId="0" applyAlignment="1">
      <alignment vertical="center"/>
    </xf>
  </cellXfs>
  <cellStyles count="20">
    <cellStyle name="Cell-Normal" xfId="5" xr:uid="{00000000-0005-0000-0000-000000000000}"/>
    <cellStyle name="Cell-wrapped" xfId="11" xr:uid="{D9AA2202-786C-4F23-9E01-D601525EBAC2}"/>
    <cellStyle name="Date" xfId="8" xr:uid="{8213E106-CB1D-45AA-A666-479CCE7A81AF}"/>
    <cellStyle name="Date 2" xfId="19" xr:uid="{3C27792F-60C6-4299-9D6D-53C39EC4D0F4}"/>
    <cellStyle name="Heading 1" xfId="1" builtinId="16" customBuiltin="1"/>
    <cellStyle name="Heading 2" xfId="2" builtinId="17" customBuiltin="1"/>
    <cellStyle name="Heading 3" xfId="3" builtinId="18" customBuiltin="1"/>
    <cellStyle name="Heading 4" xfId="4" builtinId="19" customBuiltin="1"/>
    <cellStyle name="Heading 4 2" xfId="18" xr:uid="{2EA9E633-B50F-4A69-B7CD-BFDCD3712914}"/>
    <cellStyle name="Normal" xfId="0" builtinId="0" customBuiltin="1"/>
    <cellStyle name="Not-V" xfId="17" xr:uid="{50E5006A-07E0-4CCA-9796-824099370096}"/>
    <cellStyle name="Number" xfId="10" xr:uid="{BB0F20D5-51C4-41B0-9CAA-D44405F8967A}"/>
    <cellStyle name="Signature" xfId="9" xr:uid="{062DEF26-C482-4649-BE84-11BEC5E59865}"/>
    <cellStyle name="TabHead1-V" xfId="13" xr:uid="{1A06001F-1FE1-4192-A0D2-2F0216664952}"/>
    <cellStyle name="TabHead2-V" xfId="14" xr:uid="{8F377C23-C172-4F0C-8C1B-0377F7F3C4DE}"/>
    <cellStyle name="TabHead3-V" xfId="15" xr:uid="{A04830D4-3756-4768-9AF3-A10EFA240223}"/>
    <cellStyle name="TabHead4-V" xfId="16" xr:uid="{BD71C453-F2A3-4EA9-A603-6F0FE13BC82F}"/>
    <cellStyle name="TabHeader_1" xfId="12" xr:uid="{BF8C586F-D1F9-45EB-A914-10830BCED847}"/>
    <cellStyle name="Title" xfId="6" builtinId="15" hidden="1"/>
    <cellStyle name="Total" xfId="7" builtinId="25" hidden="1"/>
  </cellStyles>
  <dxfs count="303">
    <dxf>
      <fill>
        <patternFill>
          <bgColor rgb="FFFF0000"/>
        </patternFill>
      </fill>
    </dxf>
    <dxf>
      <fill>
        <patternFill>
          <bgColor rgb="FFFFFF00"/>
        </patternFill>
      </fill>
    </dxf>
    <dxf>
      <fill>
        <patternFill>
          <bgColor rgb="FF92D050"/>
        </patternFill>
      </fill>
    </dxf>
    <dxf>
      <fill>
        <patternFill>
          <bgColor theme="3" tint="0.79998168889431442"/>
        </patternFill>
      </fill>
    </dxf>
    <dxf>
      <fill>
        <patternFill>
          <bgColor theme="3" tint="0.79998168889431442"/>
        </patternFill>
      </fill>
    </dxf>
    <dxf>
      <fill>
        <patternFill>
          <bgColor theme="3" tint="0.59996337778862885"/>
        </patternFill>
      </fill>
    </dxf>
    <dxf>
      <font>
        <strike/>
      </font>
    </dxf>
    <dxf>
      <fill>
        <patternFill>
          <bgColor rgb="FFFF0000"/>
        </patternFill>
      </fill>
    </dxf>
    <dxf>
      <fill>
        <patternFill>
          <bgColor rgb="FFFFFF00"/>
        </patternFill>
      </fill>
    </dxf>
    <dxf>
      <fill>
        <patternFill>
          <bgColor rgb="FF92D050"/>
        </patternFill>
      </fill>
    </dxf>
    <dxf>
      <fill>
        <patternFill>
          <bgColor theme="3" tint="0.79998168889431442"/>
        </patternFill>
      </fill>
    </dxf>
    <dxf>
      <fill>
        <patternFill>
          <bgColor theme="3" tint="0.79998168889431442"/>
        </patternFill>
      </fill>
    </dxf>
    <dxf>
      <fill>
        <patternFill>
          <bgColor theme="3" tint="0.59996337778862885"/>
        </patternFill>
      </fill>
    </dxf>
    <dxf>
      <font>
        <strike/>
      </font>
    </dxf>
    <dxf>
      <font>
        <b val="0"/>
        <i val="0"/>
        <strike val="0"/>
        <condense val="0"/>
        <extend val="0"/>
        <outline val="0"/>
        <shadow val="0"/>
        <u val="none"/>
        <vertAlign val="baseline"/>
        <sz val="10"/>
        <color theme="1"/>
        <name val="Corbel"/>
        <family val="2"/>
        <scheme val="minor"/>
      </font>
      <numFmt numFmtId="0" formatCode="General"/>
      <fill>
        <patternFill patternType="solid">
          <fgColor indexed="64"/>
          <bgColor theme="2"/>
        </patternFill>
      </fill>
      <alignment horizontal="left" vertical="top" textRotation="0" wrapText="1" indent="1" justifyLastLine="0" shrinkToFit="0" readingOrder="0"/>
      <border diagonalUp="0" diagonalDown="0">
        <left style="thin">
          <color theme="2" tint="-0.499984740745262"/>
        </left>
        <right style="thin">
          <color theme="2" tint="-0.499984740745262"/>
        </right>
        <top style="thin">
          <color theme="2" tint="-0.499984740745262"/>
        </top>
        <bottom style="thin">
          <color theme="2" tint="-0.499984740745262"/>
        </bottom>
        <vertical/>
        <horizontal/>
      </border>
    </dxf>
    <dxf>
      <border outline="0">
        <top style="thin">
          <color theme="2" tint="-0.499984740745262"/>
        </top>
      </border>
    </dxf>
    <dxf>
      <border outline="0">
        <top style="thin">
          <color auto="1"/>
        </top>
        <bottom style="thin">
          <color theme="2" tint="-0.499984740745262"/>
        </bottom>
      </border>
    </dxf>
    <dxf>
      <font>
        <b val="0"/>
        <i val="0"/>
        <strike val="0"/>
        <condense val="0"/>
        <extend val="0"/>
        <outline val="0"/>
        <shadow val="0"/>
        <u val="none"/>
        <vertAlign val="baseline"/>
        <sz val="10"/>
        <color theme="1"/>
        <name val="Corbel"/>
        <family val="2"/>
        <scheme val="minor"/>
      </font>
      <fill>
        <patternFill patternType="solid">
          <fgColor indexed="64"/>
          <bgColor theme="2"/>
        </patternFill>
      </fill>
      <alignment horizontal="left" vertical="top" textRotation="0" wrapText="1" indent="1" justifyLastLine="0" shrinkToFit="0" readingOrder="0"/>
    </dxf>
    <dxf>
      <border outline="0">
        <bottom style="thin">
          <color theme="2" tint="-0.499984740745262"/>
        </bottom>
      </border>
    </dxf>
    <dxf>
      <font>
        <b val="0"/>
        <i val="0"/>
        <strike val="0"/>
        <condense val="0"/>
        <extend val="0"/>
        <outline val="0"/>
        <shadow val="0"/>
        <u val="none"/>
        <vertAlign val="baseline"/>
        <sz val="11"/>
        <color theme="1"/>
        <name val="Corbel"/>
        <family val="2"/>
        <scheme val="none"/>
      </font>
      <fill>
        <patternFill patternType="solid">
          <fgColor indexed="64"/>
          <bgColor rgb="FF00B0F0"/>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indexed="64"/>
          <bgColor indexed="65"/>
        </patternFill>
      </fill>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alignment horizontal="left" vertical="top" textRotation="0" wrapText="0" indent="1"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sz val="9"/>
        <color auto="1"/>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orbel"/>
        <family val="2"/>
        <scheme val="minor"/>
      </font>
      <numFmt numFmtId="30" formatCode="@"/>
      <alignment horizontal="left" vertical="top" textRotation="0" wrapText="0" indent="1" justifyLastLine="0" shrinkToFit="0" readingOrder="0"/>
    </dxf>
    <dxf>
      <numFmt numFmtId="30" formatCode="@"/>
      <fill>
        <patternFill patternType="none">
          <fgColor indexed="64"/>
          <bgColor auto="1"/>
        </patternFill>
      </fill>
    </dxf>
    <dxf>
      <font>
        <strike val="0"/>
        <outline val="0"/>
        <shadow val="0"/>
        <u val="none"/>
        <vertAlign val="baseline"/>
        <sz val="9"/>
        <color auto="1"/>
        <name val="Corbel"/>
        <family val="2"/>
        <scheme val="none"/>
      </font>
      <fill>
        <patternFill patternType="none">
          <fgColor rgb="FF000000"/>
          <bgColor auto="1"/>
        </patternFill>
      </fill>
      <alignmen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9"/>
        <color auto="1"/>
        <name val="Corbel"/>
        <family val="2"/>
        <scheme val="none"/>
      </font>
      <alignment horizontal="left" vertical="center" textRotation="0" wrapText="0"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indexed="64"/>
          <bgColor indexed="65"/>
        </patternFill>
      </fill>
      <alignment horizontal="left"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alignment horizontal="left" vertical="top" textRotation="0" wrapText="0" indent="1"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indexed="64"/>
        </left>
        <right style="thin">
          <color auto="1"/>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numFmt numFmtId="165" formatCode="dd\.mm\.yy"/>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indexed="65"/>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border diagonalUp="0" diagonalDown="0" outline="0">
        <left style="thin">
          <color auto="1"/>
        </left>
        <right style="thin">
          <color auto="1"/>
        </right>
        <top style="thin">
          <color auto="1"/>
        </top>
        <bottom style="thin">
          <color auto="1"/>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10"/>
        <color theme="1"/>
        <name val="Corbel"/>
        <family val="2"/>
        <scheme val="minor"/>
      </font>
      <alignment horizontal="left" vertical="top" textRotation="0" wrapText="0" indent="1" justifyLastLine="0" shrinkToFit="0" readingOrder="0"/>
    </dxf>
    <dxf>
      <fill>
        <patternFill patternType="none">
          <fgColor indexed="64"/>
          <bgColor auto="1"/>
        </patternFill>
      </fill>
    </dxf>
    <dxf>
      <font>
        <b val="0"/>
        <i val="0"/>
        <strike val="0"/>
        <condense val="0"/>
        <extend val="0"/>
        <outline val="0"/>
        <shadow val="0"/>
        <u val="none"/>
        <vertAlign val="baseline"/>
        <sz val="9"/>
        <color auto="1"/>
        <name val="Corbel"/>
        <family val="2"/>
        <scheme val="none"/>
      </font>
      <alignment horizontal="general" vertical="center" textRotation="0" wrapText="0" indent="0" justifyLastLine="0" shrinkToFit="0" readingOrder="0"/>
    </dxf>
    <dxf>
      <font>
        <sz val="9"/>
        <color auto="1"/>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0"/>
        <color theme="1"/>
        <name val="Corbel"/>
        <family val="2"/>
        <scheme val="minor"/>
      </font>
      <numFmt numFmtId="30" formatCode="@"/>
      <alignment horizontal="left" vertical="top" textRotation="0" wrapText="0" indent="1" justifyLastLine="0" shrinkToFit="0" readingOrder="0"/>
    </dxf>
    <dxf>
      <numFmt numFmtId="30" formatCode="@"/>
      <fill>
        <patternFill patternType="none">
          <fgColor indexed="64"/>
          <bgColor auto="1"/>
        </patternFill>
      </fill>
    </dxf>
    <dxf>
      <font>
        <strike val="0"/>
        <outline val="0"/>
        <shadow val="0"/>
        <u val="none"/>
        <vertAlign val="baseline"/>
        <sz val="9"/>
        <color auto="1"/>
        <name val="Corbel"/>
        <family val="2"/>
        <scheme val="none"/>
      </font>
      <fill>
        <patternFill patternType="none">
          <fgColor indexed="64"/>
          <bgColor auto="1"/>
        </patternFill>
      </fill>
      <alignment vertical="center" textRotation="0" wrapText="0" indent="0" justifyLastLine="0" shrinkToFit="0" readingOrder="0"/>
    </dxf>
    <dxf>
      <font>
        <b val="0"/>
        <i val="0"/>
        <strike val="0"/>
        <condense val="0"/>
        <extend val="0"/>
        <outline val="0"/>
        <shadow val="0"/>
        <u val="none"/>
        <vertAlign val="baseline"/>
        <sz val="9"/>
        <color auto="1"/>
        <name val="Corbel"/>
        <family val="2"/>
        <scheme val="none"/>
      </font>
      <fill>
        <patternFill patternType="none">
          <fgColor rgb="FF000000"/>
          <bgColor auto="1"/>
        </patternFill>
      </fill>
      <alignment horizontal="left" vertical="center" textRotation="0" wrapText="0" indent="0" justifyLastLine="0" shrinkToFit="0" readingOrder="0"/>
    </dxf>
    <dxf>
      <alignment textRotation="0" wrapText="0" indent="0" justifyLastLine="0" shrinkToFit="0" readingOrder="0"/>
    </dxf>
    <dxf>
      <font>
        <b val="0"/>
        <i val="0"/>
        <strike val="0"/>
        <condense val="0"/>
        <extend val="0"/>
        <outline val="0"/>
        <shadow val="0"/>
        <u val="none"/>
        <vertAlign val="baseline"/>
        <sz val="10"/>
        <color theme="1"/>
        <name val="Corbel"/>
        <family val="2"/>
        <scheme val="minor"/>
      </font>
    </dxf>
    <dxf>
      <fill>
        <patternFill patternType="none">
          <fgColor indexed="64"/>
          <bgColor auto="1"/>
        </patternFill>
      </fill>
      <alignment horizontal="left" vertical="top" textRotation="0" wrapText="1" indent="1" justifyLastLine="0" shrinkToFit="0" readingOrder="0"/>
      <border diagonalUp="0" diagonalDown="0" outline="0">
        <left style="thin">
          <color auto="1"/>
        </left>
        <right/>
        <top style="thin">
          <color auto="1"/>
        </top>
        <bottom style="thin">
          <color auto="1"/>
        </bottom>
      </border>
    </dxf>
    <dxf>
      <fill>
        <patternFill patternType="none">
          <fgColor indexed="64"/>
          <bgColor auto="1"/>
        </patternFill>
      </fill>
      <border diagonalUp="0" diagonalDown="0" outline="0">
        <left style="thin">
          <color auto="1"/>
        </left>
        <right/>
        <top style="thin">
          <color auto="1"/>
        </top>
        <bottom style="thin">
          <color auto="1"/>
        </bottom>
      </border>
    </dxf>
    <dxf>
      <numFmt numFmtId="164" formatCode="dd/mm/yy;@"/>
      <fill>
        <patternFill patternType="none">
          <fgColor indexed="64"/>
          <bgColor auto="1"/>
        </patternFill>
      </fill>
    </dxf>
    <dxf>
      <fill>
        <patternFill patternType="none">
          <fgColor indexed="64"/>
          <bgColor auto="1"/>
        </patternFill>
      </fill>
      <border diagonalUp="0" diagonalDown="0" outline="0">
        <left/>
        <right style="thin">
          <color auto="1"/>
        </right>
        <top style="thin">
          <color auto="1"/>
        </top>
        <bottom style="thin">
          <color auto="1"/>
        </bottom>
      </border>
    </dxf>
    <dxf>
      <border outline="0">
        <top style="thin">
          <color auto="1"/>
        </top>
      </border>
    </dxf>
    <dxf>
      <border outline="0">
        <left style="thin">
          <color auto="1"/>
        </left>
        <right style="thin">
          <color auto="1"/>
        </right>
        <top style="thin">
          <color auto="1"/>
        </top>
        <bottom style="thin">
          <color auto="1"/>
        </bottom>
      </border>
    </dxf>
    <dxf>
      <fill>
        <patternFill patternType="none">
          <fgColor indexed="64"/>
          <bgColor auto="1"/>
        </patternFill>
      </fill>
    </dxf>
    <dxf>
      <fill>
        <patternFill patternType="none">
          <bgColor auto="1"/>
        </patternFill>
      </fill>
    </dxf>
    <dxf>
      <fill>
        <patternFill>
          <bgColor theme="3" tint="0.79998168889431442"/>
        </patternFill>
      </fill>
    </dxf>
    <dxf>
      <fill>
        <patternFill>
          <bgColor theme="3" tint="0.79998168889431442"/>
        </patternFill>
      </fill>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3999450666829432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3999450666829432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0" tint="-4.9989318521683403E-2"/>
        </patternFill>
      </fill>
    </dxf>
    <dxf>
      <fill>
        <patternFill>
          <bgColor theme="0" tint="-4.9989318521683403E-2"/>
        </patternFill>
      </fill>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2" tint="-9.9948118533890809E-2"/>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theme="2"/>
        </patternFill>
      </fill>
    </dxf>
    <dxf>
      <fill>
        <patternFill>
          <bgColor theme="2"/>
        </patternFill>
      </fill>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79998168889431442"/>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ont>
        <b/>
        <i val="0"/>
      </font>
      <fill>
        <patternFill>
          <bgColor theme="3" tint="0.59996337778862885"/>
        </patternFill>
      </fill>
      <border diagonalUp="0" diagonalDown="0">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border>
        <left style="thin">
          <color theme="2" tint="-0.499984740745262"/>
        </left>
        <right style="thin">
          <color theme="2" tint="-0.499984740745262"/>
        </right>
        <top style="thin">
          <color theme="2" tint="-0.499984740745262"/>
        </top>
        <bottom style="thin">
          <color theme="2" tint="-0.499984740745262"/>
        </bottom>
        <vertical style="thin">
          <color theme="2" tint="-0.499984740745262"/>
        </vertical>
        <horizontal style="thin">
          <color theme="2" tint="-0.499984740745262"/>
        </horizontal>
      </border>
    </dxf>
    <dxf>
      <fill>
        <patternFill patternType="none">
          <bgColor auto="1"/>
        </patternFill>
      </fill>
    </dxf>
    <dxf>
      <fill>
        <patternFill>
          <bgColor rgb="FFF8F8F8"/>
        </patternFill>
      </fill>
    </dxf>
    <dxf>
      <fill>
        <patternFill>
          <bgColor rgb="FFF8F8F8"/>
        </patternFill>
      </fill>
    </dxf>
    <dxf>
      <font>
        <b/>
        <i val="0"/>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4.9989318521683403E-2"/>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font>
        <b/>
        <i val="0"/>
      </font>
      <fill>
        <patternFill>
          <bgColor theme="0" tint="-0.14996795556505021"/>
        </patternFill>
      </fill>
      <border>
        <left style="thin">
          <color auto="1"/>
        </left>
        <right style="thin">
          <color auto="1"/>
        </right>
        <top style="thin">
          <color auto="1"/>
        </top>
        <bottom style="thin">
          <color auto="1"/>
        </bottom>
        <vertical style="thin">
          <color auto="1"/>
        </vertical>
        <horizontal style="thin">
          <color auto="1"/>
        </horizontal>
      </border>
    </dxf>
    <dxf>
      <border>
        <left style="thin">
          <color auto="1"/>
        </left>
        <right style="thin">
          <color auto="1"/>
        </right>
        <top style="thin">
          <color auto="1"/>
        </top>
        <bottom style="thin">
          <color auto="1"/>
        </bottom>
        <vertical style="thin">
          <color auto="1"/>
        </vertical>
        <horizontal style="thin">
          <color auto="1"/>
        </horizontal>
      </border>
    </dxf>
    <dxf>
      <fill>
        <patternFill>
          <bgColor theme="9" tint="0.79998168889431442"/>
        </patternFill>
      </fill>
    </dxf>
    <dxf>
      <fill>
        <patternFill>
          <bgColor theme="9" tint="0.79998168889431442"/>
        </patternFill>
      </fill>
    </dxf>
    <dxf>
      <font>
        <b/>
        <i val="0"/>
      </font>
      <fill>
        <patternFill>
          <bgColor theme="9" tint="0.59996337778862885"/>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59996337778862885"/>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39994506668294322"/>
        </patternFill>
      </fill>
      <border>
        <left style="thin">
          <color theme="9"/>
        </left>
        <right style="thin">
          <color theme="9"/>
        </right>
        <top style="thin">
          <color theme="9"/>
        </top>
        <bottom style="thin">
          <color theme="9"/>
        </bottom>
        <vertical style="thin">
          <color theme="9"/>
        </vertical>
        <horizontal style="thin">
          <color theme="9"/>
        </horizontal>
      </border>
    </dxf>
    <dxf>
      <font>
        <b/>
        <i val="0"/>
      </font>
      <fill>
        <patternFill>
          <bgColor theme="9" tint="0.39994506668294322"/>
        </patternFill>
      </fill>
      <border>
        <left style="thin">
          <color theme="9"/>
        </left>
        <right style="thin">
          <color theme="9"/>
        </right>
        <top style="thin">
          <color theme="9"/>
        </top>
        <bottom style="thin">
          <color theme="9"/>
        </bottom>
        <vertical style="thin">
          <color theme="9"/>
        </vertical>
        <horizontal style="thin">
          <color theme="9"/>
        </horizontal>
      </border>
    </dxf>
    <dxf>
      <border>
        <left style="thin">
          <color theme="9"/>
        </left>
        <right style="thin">
          <color theme="9"/>
        </right>
        <top style="thin">
          <color theme="9"/>
        </top>
        <bottom style="thin">
          <color theme="9"/>
        </bottom>
        <vertical style="thin">
          <color theme="9"/>
        </vertical>
        <horizontal style="thin">
          <color theme="9"/>
        </horizontal>
      </border>
    </dxf>
    <dxf>
      <fill>
        <patternFill>
          <bgColor theme="8" tint="0.79998168889431442"/>
        </patternFill>
      </fill>
    </dxf>
    <dxf>
      <fill>
        <patternFill>
          <bgColor theme="8" tint="0.79998168889431442"/>
        </patternFill>
      </fill>
    </dxf>
    <dxf>
      <font>
        <b/>
        <i val="0"/>
      </font>
      <fill>
        <patternFill>
          <bgColor theme="8" tint="0.59996337778862885"/>
        </patternFill>
      </fill>
      <border>
        <left style="thin">
          <color theme="8"/>
        </left>
        <right style="thin">
          <color theme="8"/>
        </right>
        <top style="thin">
          <color theme="8"/>
        </top>
        <bottom style="thin">
          <color theme="8"/>
        </bottom>
        <vertical style="thin">
          <color theme="8"/>
        </vertical>
        <horizontal style="thin">
          <color theme="8"/>
        </horizontal>
      </border>
    </dxf>
    <dxf>
      <font>
        <b/>
        <i val="0"/>
      </font>
      <fill>
        <patternFill>
          <bgColor theme="8" tint="0.59996337778862885"/>
        </patternFill>
      </fill>
    </dxf>
    <dxf>
      <font>
        <b/>
        <i val="0"/>
      </font>
      <fill>
        <patternFill>
          <bgColor theme="8" tint="0.39994506668294322"/>
        </patternFill>
      </fill>
    </dxf>
    <dxf>
      <font>
        <b/>
        <i val="0"/>
      </font>
      <fill>
        <patternFill>
          <bgColor theme="8" tint="0.39994506668294322"/>
        </patternFill>
      </fill>
    </dxf>
    <dxf>
      <border>
        <left style="thin">
          <color theme="8"/>
        </left>
        <right style="thin">
          <color theme="8"/>
        </right>
        <top style="thin">
          <color theme="8"/>
        </top>
        <bottom style="thin">
          <color theme="8"/>
        </bottom>
        <vertical style="thin">
          <color theme="8"/>
        </vertical>
        <horizontal style="thin">
          <color theme="8"/>
        </horizontal>
      </border>
    </dxf>
    <dxf>
      <fill>
        <patternFill>
          <bgColor theme="0"/>
        </patternFill>
      </fill>
      <border diagonalUp="0" diagonalDown="0">
        <left/>
        <right/>
        <top/>
        <bottom/>
        <vertical/>
        <horizontal/>
      </border>
    </dxf>
    <dxf>
      <fill>
        <patternFill>
          <bgColor theme="7" tint="0.79998168889431442"/>
        </patternFill>
      </fill>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val="0"/>
        <i val="0"/>
      </font>
      <fill>
        <patternFill>
          <bgColor theme="7" tint="0.79998168889431442"/>
        </patternFill>
      </fill>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59996337778862885"/>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59996337778862885"/>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39994506668294322"/>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i val="0"/>
      </font>
      <fill>
        <patternFill>
          <bgColor theme="7" tint="0.39994506668294322"/>
        </patternFill>
      </fill>
      <border diagonalUp="0" diagonalDown="0">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ont>
        <b val="0"/>
        <i val="0"/>
      </font>
      <border>
        <left style="thin">
          <color theme="7" tint="-0.24994659260841701"/>
        </left>
        <right style="thin">
          <color theme="7" tint="-0.24994659260841701"/>
        </right>
        <top style="thin">
          <color theme="7" tint="-0.24994659260841701"/>
        </top>
        <bottom style="thin">
          <color theme="7" tint="-0.24994659260841701"/>
        </bottom>
        <vertical style="thin">
          <color theme="7" tint="-0.24994659260841701"/>
        </vertical>
        <horizontal style="thin">
          <color theme="7" tint="-0.24994659260841701"/>
        </horizontal>
      </border>
    </dxf>
    <dxf>
      <fill>
        <patternFill>
          <bgColor theme="6" tint="0.89996032593768116"/>
        </patternFill>
      </fill>
    </dxf>
    <dxf>
      <fill>
        <patternFill>
          <bgColor theme="6" tint="0.89996032593768116"/>
        </patternFill>
      </fill>
    </dxf>
    <dxf>
      <font>
        <b/>
        <i val="0"/>
      </font>
      <fill>
        <patternFill>
          <bgColor theme="6" tint="0.749961851863155"/>
        </patternFill>
      </fill>
    </dxf>
    <dxf>
      <font>
        <b/>
        <i val="0"/>
      </font>
      <fill>
        <patternFill>
          <bgColor theme="6" tint="0.749961851863155"/>
        </patternFill>
      </fill>
    </dxf>
    <dxf>
      <font>
        <b/>
        <i val="0"/>
      </font>
      <fill>
        <patternFill>
          <bgColor theme="6" tint="0.499984740745262"/>
        </patternFill>
      </fill>
    </dxf>
    <dxf>
      <font>
        <b/>
        <i val="0"/>
      </font>
      <fill>
        <patternFill>
          <bgColor theme="6" tint="0.499984740745262"/>
        </patternFill>
      </fill>
    </dxf>
    <dxf>
      <border>
        <left style="thin">
          <color theme="4"/>
        </left>
        <right style="thin">
          <color theme="4"/>
        </right>
        <top style="thin">
          <color theme="4"/>
        </top>
        <bottom style="thin">
          <color theme="4"/>
        </bottom>
        <vertical style="thin">
          <color theme="4"/>
        </vertical>
        <horizontal style="thin">
          <color theme="4"/>
        </horizontal>
      </border>
    </dxf>
    <dxf>
      <fill>
        <patternFill>
          <bgColor theme="5" tint="0.79998168889431442"/>
        </patternFill>
      </fill>
    </dxf>
    <dxf>
      <fill>
        <patternFill>
          <bgColor theme="5" tint="0.79998168889431442"/>
        </patternFill>
      </fill>
    </dxf>
    <dxf>
      <font>
        <b/>
        <i val="0"/>
      </font>
      <fill>
        <patternFill>
          <bgColor theme="5" tint="0.59996337778862885"/>
        </patternFill>
      </fill>
    </dxf>
    <dxf>
      <font>
        <b/>
        <i val="0"/>
      </font>
      <fill>
        <patternFill>
          <bgColor theme="5" tint="0.59996337778862885"/>
        </patternFill>
      </fill>
    </dxf>
    <dxf>
      <font>
        <b/>
        <i val="0"/>
      </font>
      <fill>
        <patternFill>
          <bgColor theme="5" tint="0.39994506668294322"/>
        </patternFill>
      </fill>
    </dxf>
    <dxf>
      <font>
        <b/>
        <i val="0"/>
      </font>
      <fill>
        <patternFill>
          <bgColor theme="5" tint="0.39994506668294322"/>
        </patternFill>
      </fill>
    </dxf>
    <dxf>
      <border>
        <left style="thin">
          <color theme="5"/>
        </left>
        <right style="thin">
          <color theme="5"/>
        </right>
        <top style="thin">
          <color theme="5"/>
        </top>
        <bottom style="thin">
          <color theme="5"/>
        </bottom>
        <vertical style="thin">
          <color theme="5"/>
        </vertical>
        <horizontal style="thin">
          <color theme="5"/>
        </horizontal>
      </border>
    </dxf>
    <dxf>
      <fill>
        <patternFill>
          <bgColor theme="4" tint="0.79998168889431442"/>
        </patternFill>
      </fill>
    </dxf>
    <dxf>
      <fill>
        <patternFill>
          <bgColor theme="4" tint="0.79998168889431442"/>
        </patternFill>
      </fill>
    </dxf>
    <dxf>
      <font>
        <b/>
        <i val="0"/>
      </font>
      <fill>
        <patternFill>
          <bgColor theme="4" tint="0.59996337778862885"/>
        </patternFill>
      </fill>
    </dxf>
    <dxf>
      <font>
        <b/>
        <i val="0"/>
      </font>
      <fill>
        <patternFill>
          <bgColor theme="4" tint="0.59996337778862885"/>
        </patternFill>
      </fill>
    </dxf>
    <dxf>
      <font>
        <b/>
        <i val="0"/>
      </font>
      <fill>
        <patternFill>
          <bgColor theme="4" tint="0.39994506668294322"/>
        </patternFill>
      </fill>
    </dxf>
    <dxf>
      <font>
        <b/>
        <i val="0"/>
      </font>
      <fill>
        <patternFill>
          <bgColor theme="4" tint="0.39994506668294322"/>
        </patternFill>
      </fill>
    </dxf>
    <dxf>
      <border>
        <left style="thin">
          <color theme="4"/>
        </left>
        <right style="thin">
          <color theme="4"/>
        </right>
        <top style="thin">
          <color theme="4"/>
        </top>
        <bottom style="thin">
          <color theme="4"/>
        </bottom>
        <vertical style="thin">
          <color theme="4"/>
        </vertical>
        <horizontal style="thin">
          <color theme="4"/>
        </horizontal>
      </border>
    </dxf>
    <dxf>
      <fill>
        <patternFill>
          <bgColor theme="5"/>
        </patternFill>
      </fill>
    </dxf>
    <dxf>
      <fill>
        <patternFill>
          <bgColor theme="0"/>
        </patternFill>
      </fill>
    </dxf>
    <dxf>
      <fill>
        <patternFill>
          <bgColor theme="5" tint="0.79998168889431442"/>
        </patternFill>
      </fill>
    </dxf>
    <dxf>
      <font>
        <b/>
        <i val="0"/>
      </font>
      <fill>
        <patternFill>
          <bgColor theme="5" tint="0.59996337778862885"/>
        </patternFill>
      </fill>
    </dxf>
    <dxf>
      <fill>
        <patternFill>
          <bgColor theme="5" tint="0.79998168889431442"/>
        </patternFill>
      </fill>
    </dxf>
    <dxf>
      <font>
        <b/>
        <i val="0"/>
      </font>
      <fill>
        <patternFill>
          <bgColor theme="5" tint="0.59996337778862885"/>
        </patternFill>
      </fill>
    </dxf>
    <dxf>
      <font>
        <b val="0"/>
        <i val="0"/>
      </font>
      <fill>
        <patternFill>
          <bgColor theme="5" tint="0.79998168889431442"/>
        </patternFill>
      </fill>
    </dxf>
    <dxf>
      <font>
        <b/>
        <i val="0"/>
      </font>
      <fill>
        <patternFill>
          <bgColor theme="5" tint="0.59996337778862885"/>
        </patternFill>
      </fill>
    </dxf>
    <dxf>
      <fill>
        <patternFill>
          <bgColor theme="5" tint="0.59996337778862885"/>
        </patternFill>
      </fill>
    </dxf>
    <dxf>
      <font>
        <b/>
        <i val="0"/>
      </font>
      <fill>
        <patternFill>
          <bgColor theme="5" tint="0.59996337778862885"/>
        </patternFill>
      </fill>
    </dxf>
    <dxf>
      <fill>
        <patternFill>
          <bgColor theme="5" tint="0.59996337778862885"/>
        </patternFill>
      </fill>
    </dxf>
    <dxf>
      <fill>
        <patternFill patternType="solid">
          <bgColor theme="5" tint="0.79998168889431442"/>
        </patternFill>
      </fill>
    </dxf>
    <dxf>
      <fill>
        <patternFill>
          <bgColor theme="5" tint="0.39994506668294322"/>
        </patternFill>
      </fill>
    </dxf>
    <dxf>
      <fill>
        <patternFill>
          <bgColor theme="5" tint="0.39994506668294322"/>
        </patternFill>
      </fill>
    </dxf>
    <dxf>
      <fill>
        <patternFill>
          <bgColor theme="4"/>
        </patternFill>
      </fill>
    </dxf>
    <dxf>
      <fill>
        <patternFill>
          <bgColor theme="0"/>
        </patternFill>
      </fill>
    </dxf>
    <dxf>
      <fill>
        <patternFill>
          <bgColor theme="4" tint="0.79998168889431442"/>
        </patternFill>
      </fill>
    </dxf>
    <dxf>
      <font>
        <b/>
        <i val="0"/>
      </font>
      <fill>
        <patternFill>
          <bgColor theme="4" tint="0.59996337778862885"/>
        </patternFill>
      </fill>
    </dxf>
    <dxf>
      <fill>
        <patternFill>
          <bgColor theme="4" tint="0.79998168889431442"/>
        </patternFill>
      </fill>
    </dxf>
    <dxf>
      <font>
        <b/>
        <i val="0"/>
      </font>
      <fill>
        <patternFill>
          <bgColor theme="4" tint="0.59996337778862885"/>
        </patternFill>
      </fill>
    </dxf>
    <dxf>
      <font>
        <b val="0"/>
        <i val="0"/>
      </font>
      <fill>
        <patternFill>
          <bgColor theme="4" tint="0.79998168889431442"/>
        </patternFill>
      </fill>
    </dxf>
    <dxf>
      <font>
        <b/>
        <i val="0"/>
      </font>
      <fill>
        <patternFill>
          <bgColor theme="4" tint="0.59996337778862885"/>
        </patternFill>
      </fill>
    </dxf>
    <dxf>
      <fill>
        <patternFill>
          <bgColor theme="4" tint="0.59996337778862885"/>
        </patternFill>
      </fill>
    </dxf>
    <dxf>
      <font>
        <b/>
        <i val="0"/>
      </font>
      <fill>
        <patternFill>
          <bgColor theme="4" tint="0.59996337778862885"/>
        </patternFill>
      </fill>
    </dxf>
    <dxf>
      <fill>
        <patternFill>
          <bgColor theme="4" tint="0.59996337778862885"/>
        </patternFill>
      </fill>
    </dxf>
    <dxf>
      <fill>
        <patternFill patternType="solid">
          <bgColor theme="4" tint="0.79998168889431442"/>
        </patternFill>
      </fill>
    </dxf>
    <dxf>
      <fill>
        <patternFill>
          <bgColor theme="4" tint="0.39994506668294322"/>
        </patternFill>
      </fill>
    </dxf>
    <dxf>
      <fill>
        <patternFill>
          <bgColor theme="4" tint="0.39994506668294322"/>
        </patternFill>
      </fill>
    </dxf>
  </dxfs>
  <tableStyles count="16" defaultTableStyle="TableStyleMedium2" defaultPivotStyle="PivotStyleLight16">
    <tableStyle name="PivotTable_1" table="0" count="14" xr9:uid="{D6F9E536-AE99-4E1F-9899-8EE2952B81D7}">
      <tableStyleElement type="headerRow" dxfId="302"/>
      <tableStyleElement type="totalRow" dxfId="301"/>
      <tableStyleElement type="firstColumn" dxfId="300"/>
      <tableStyleElement type="lastColumn" dxfId="299"/>
      <tableStyleElement type="firstSubtotalColumn" dxfId="298"/>
      <tableStyleElement type="secondSubtotalColumn" dxfId="297"/>
      <tableStyleElement type="firstSubtotalRow" dxfId="296"/>
      <tableStyleElement type="secondSubtotalRow" dxfId="295"/>
      <tableStyleElement type="firstColumnSubheading" dxfId="294"/>
      <tableStyleElement type="secondColumnSubheading" dxfId="293"/>
      <tableStyleElement type="firstRowSubheading" dxfId="292"/>
      <tableStyleElement type="secondRowSubheading" dxfId="291"/>
      <tableStyleElement type="thirdRowSubheading" dxfId="290"/>
      <tableStyleElement type="pageFieldLabels" dxfId="289"/>
    </tableStyle>
    <tableStyle name="PivotTable_2" table="0" count="14" xr9:uid="{98FAD84F-B566-4FA3-AD06-8E8BA71A9B10}">
      <tableStyleElement type="headerRow" dxfId="288"/>
      <tableStyleElement type="totalRow" dxfId="287"/>
      <tableStyleElement type="firstColumn" dxfId="286"/>
      <tableStyleElement type="lastColumn" dxfId="285"/>
      <tableStyleElement type="firstSubtotalColumn" dxfId="284"/>
      <tableStyleElement type="secondSubtotalColumn" dxfId="283"/>
      <tableStyleElement type="firstSubtotalRow" dxfId="282"/>
      <tableStyleElement type="secondSubtotalRow" dxfId="281"/>
      <tableStyleElement type="firstColumnSubheading" dxfId="280"/>
      <tableStyleElement type="secondColumnSubheading" dxfId="279"/>
      <tableStyleElement type="firstRowSubheading" dxfId="278"/>
      <tableStyleElement type="secondRowSubheading" dxfId="277"/>
      <tableStyleElement type="thirdRowSubheading" dxfId="276"/>
      <tableStyleElement type="pageFieldLabels" dxfId="275"/>
    </tableStyle>
    <tableStyle name="Table_1" pivot="0" count="7" xr9:uid="{00000000-0011-0000-FFFF-FFFF04000000}">
      <tableStyleElement type="wholeTable" dxfId="274"/>
      <tableStyleElement type="headerRow" dxfId="273"/>
      <tableStyleElement type="totalRow" dxfId="272"/>
      <tableStyleElement type="firstColumn" dxfId="271"/>
      <tableStyleElement type="lastColumn" dxfId="270"/>
      <tableStyleElement type="secondRowStripe" dxfId="269"/>
      <tableStyleElement type="firstColumnStripe" dxfId="268"/>
    </tableStyle>
    <tableStyle name="Table_2" pivot="0" count="7" xr9:uid="{00000000-0011-0000-FFFF-FFFF00000000}">
      <tableStyleElement type="wholeTable" dxfId="267"/>
      <tableStyleElement type="headerRow" dxfId="266"/>
      <tableStyleElement type="totalRow" dxfId="265"/>
      <tableStyleElement type="firstColumn" dxfId="264"/>
      <tableStyleElement type="lastColumn" dxfId="263"/>
      <tableStyleElement type="secondRowStripe" dxfId="262"/>
      <tableStyleElement type="firstColumnStripe" dxfId="261"/>
    </tableStyle>
    <tableStyle name="Table_3" pivot="0" count="7" xr9:uid="{00000000-0011-0000-FFFF-FFFF01000000}">
      <tableStyleElement type="wholeTable" dxfId="260"/>
      <tableStyleElement type="headerRow" dxfId="259"/>
      <tableStyleElement type="totalRow" dxfId="258"/>
      <tableStyleElement type="firstColumn" dxfId="257"/>
      <tableStyleElement type="lastColumn" dxfId="256"/>
      <tableStyleElement type="secondRowStripe" dxfId="255"/>
      <tableStyleElement type="firstColumnStripe" dxfId="254"/>
    </tableStyle>
    <tableStyle name="Table_4" pivot="0" count="9" xr9:uid="{0C0AE644-A081-4FE0-BFB2-E01EC15AADD2}">
      <tableStyleElement type="wholeTable" dxfId="253"/>
      <tableStyleElement type="headerRow" dxfId="252"/>
      <tableStyleElement type="totalRow" dxfId="251"/>
      <tableStyleElement type="firstColumn" dxfId="250"/>
      <tableStyleElement type="lastColumn" dxfId="249"/>
      <tableStyleElement type="firstRowStripe" dxfId="248"/>
      <tableStyleElement type="secondRowStripe" dxfId="247"/>
      <tableStyleElement type="firstColumnStripe" dxfId="246"/>
      <tableStyleElement type="secondColumnStripe" dxfId="245"/>
    </tableStyle>
    <tableStyle name="Table_5" pivot="0" count="7" xr9:uid="{288A2F39-F8C3-41A8-8C0A-250B6EDA9266}">
      <tableStyleElement type="wholeTable" dxfId="244"/>
      <tableStyleElement type="headerRow" dxfId="243"/>
      <tableStyleElement type="totalRow" dxfId="242"/>
      <tableStyleElement type="firstColumn" dxfId="241"/>
      <tableStyleElement type="lastColumn" dxfId="240"/>
      <tableStyleElement type="secondRowStripe" dxfId="239"/>
      <tableStyleElement type="firstColumnStripe" dxfId="238"/>
    </tableStyle>
    <tableStyle name="Table_6" pivot="0" count="7" xr9:uid="{92679619-5CE3-4163-A09C-BE8399647A9B}">
      <tableStyleElement type="wholeTable" dxfId="237"/>
      <tableStyleElement type="headerRow" dxfId="236"/>
      <tableStyleElement type="totalRow" dxfId="235"/>
      <tableStyleElement type="firstColumn" dxfId="234"/>
      <tableStyleElement type="lastColumn" dxfId="233"/>
      <tableStyleElement type="secondRowStripe" dxfId="232"/>
      <tableStyleElement type="firstColumnStripe" dxfId="231"/>
    </tableStyle>
    <tableStyle name="Table_A" pivot="0" count="8" xr9:uid="{D25C43D6-AF28-4C9B-8C2A-602AEEF2492E}">
      <tableStyleElement type="wholeTable" dxfId="230"/>
      <tableStyleElement type="headerRow" dxfId="229"/>
      <tableStyleElement type="totalRow" dxfId="228"/>
      <tableStyleElement type="firstColumn" dxfId="227"/>
      <tableStyleElement type="lastColumn" dxfId="226"/>
      <tableStyleElement type="secondRowStripe" dxfId="225"/>
      <tableStyleElement type="firstColumnStripe" dxfId="224"/>
      <tableStyleElement type="secondColumnStripe" dxfId="223"/>
    </tableStyle>
    <tableStyle name="Table_B" pivot="0" count="8" xr9:uid="{5B5A6AAA-A4F0-4B53-A8ED-7DD903B2BB95}">
      <tableStyleElement type="wholeTable" dxfId="222"/>
      <tableStyleElement type="headerRow" dxfId="221"/>
      <tableStyleElement type="totalRow" dxfId="220"/>
      <tableStyleElement type="firstColumn" dxfId="219"/>
      <tableStyleElement type="lastColumn" dxfId="218"/>
      <tableStyleElement type="secondRowStripe" dxfId="217"/>
      <tableStyleElement type="firstColumnStripe" dxfId="216"/>
      <tableStyleElement type="secondColumnStripe" dxfId="215"/>
    </tableStyle>
    <tableStyle name="Table_B 2" pivot="0" count="8" xr9:uid="{9D6F2844-DC7A-43D5-8458-48287694F8F2}">
      <tableStyleElement type="wholeTable" dxfId="214"/>
      <tableStyleElement type="headerRow" dxfId="213"/>
      <tableStyleElement type="totalRow" dxfId="212"/>
      <tableStyleElement type="firstColumn" dxfId="211"/>
      <tableStyleElement type="lastColumn" dxfId="210"/>
      <tableStyleElement type="secondRowStripe" dxfId="209"/>
      <tableStyleElement type="firstColumnStripe" dxfId="208"/>
      <tableStyleElement type="secondColumnStripe" dxfId="207"/>
    </tableStyle>
    <tableStyle name="Table_B 3" pivot="0" count="8" xr9:uid="{F07A597F-15D0-4046-A34C-2F3D764B782E}">
      <tableStyleElement type="wholeTable" dxfId="206"/>
      <tableStyleElement type="headerRow" dxfId="205"/>
      <tableStyleElement type="totalRow" dxfId="204"/>
      <tableStyleElement type="firstColumn" dxfId="203"/>
      <tableStyleElement type="lastColumn" dxfId="202"/>
      <tableStyleElement type="secondRowStripe" dxfId="201"/>
      <tableStyleElement type="firstColumnStripe" dxfId="200"/>
      <tableStyleElement type="secondColumnStripe" dxfId="199"/>
    </tableStyle>
    <tableStyle name="Table_B2" pivot="0" count="8" xr9:uid="{9E138CE1-1107-4D0D-A59E-B7DD3A5092AB}">
      <tableStyleElement type="wholeTable" dxfId="198"/>
      <tableStyleElement type="headerRow" dxfId="197"/>
      <tableStyleElement type="totalRow" dxfId="196"/>
      <tableStyleElement type="firstColumn" dxfId="195"/>
      <tableStyleElement type="lastColumn" dxfId="194"/>
      <tableStyleElement type="secondRowStripe" dxfId="193"/>
      <tableStyleElement type="firstColumnStripe" dxfId="192"/>
      <tableStyleElement type="secondColumnStripe" dxfId="191"/>
    </tableStyle>
    <tableStyle name="Table_B2 2" pivot="0" count="8" xr9:uid="{F39B7FCB-2309-41D1-AF21-FD5CEEA7103D}">
      <tableStyleElement type="wholeTable" dxfId="190"/>
      <tableStyleElement type="headerRow" dxfId="189"/>
      <tableStyleElement type="totalRow" dxfId="188"/>
      <tableStyleElement type="firstColumn" dxfId="187"/>
      <tableStyleElement type="lastColumn" dxfId="186"/>
      <tableStyleElement type="secondRowStripe" dxfId="185"/>
      <tableStyleElement type="firstColumnStripe" dxfId="184"/>
      <tableStyleElement type="secondColumnStripe" dxfId="183"/>
    </tableStyle>
    <tableStyle name="Table_B2 3" pivot="0" count="8" xr9:uid="{04694E14-1746-499D-9870-6BBAA9F524B5}">
      <tableStyleElement type="wholeTable" dxfId="182"/>
      <tableStyleElement type="headerRow" dxfId="181"/>
      <tableStyleElement type="totalRow" dxfId="180"/>
      <tableStyleElement type="firstColumn" dxfId="179"/>
      <tableStyleElement type="lastColumn" dxfId="178"/>
      <tableStyleElement type="secondRowStripe" dxfId="177"/>
      <tableStyleElement type="firstColumnStripe" dxfId="176"/>
      <tableStyleElement type="secondColumnStripe" dxfId="175"/>
    </tableStyle>
    <tableStyle name="Table_C" pivot="0" count="8" xr9:uid="{7C54C6C4-DD40-4D8E-9F21-68F5D0E80042}">
      <tableStyleElement type="wholeTable" dxfId="174"/>
      <tableStyleElement type="headerRow" dxfId="173"/>
      <tableStyleElement type="totalRow" dxfId="172"/>
      <tableStyleElement type="firstColumn" dxfId="171"/>
      <tableStyleElement type="lastColumn" dxfId="170"/>
      <tableStyleElement type="secondRowStripe" dxfId="169"/>
      <tableStyleElement type="firstColumnStripe" dxfId="168"/>
      <tableStyleElement type="secondColumnStripe" dxfId="167"/>
    </tableStyle>
  </tableStyles>
  <colors>
    <mruColors>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13</xdr:row>
      <xdr:rowOff>19050</xdr:rowOff>
    </xdr:from>
    <xdr:to>
      <xdr:col>10</xdr:col>
      <xdr:colOff>345006</xdr:colOff>
      <xdr:row>18</xdr:row>
      <xdr:rowOff>131600</xdr:rowOff>
    </xdr:to>
    <xdr:pic>
      <xdr:nvPicPr>
        <xdr:cNvPr id="2" name="Picture 1">
          <a:extLst>
            <a:ext uri="{FF2B5EF4-FFF2-40B4-BE49-F238E27FC236}">
              <a16:creationId xmlns:a16="http://schemas.microsoft.com/office/drawing/2014/main" id="{D1662629-492B-4E61-92AD-F87551DC0FC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867479"/>
          <a:ext cx="5171006" cy="103874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ika Pande" refreshedDate="45756.447194444445" createdVersion="8" refreshedVersion="8" minRefreshableVersion="3" recordCount="1" xr:uid="{DA68385F-3975-416A-8282-EF52D1DA0029}">
  <cacheSource type="worksheet">
    <worksheetSource name="TableDocList"/>
  </cacheSource>
  <cacheFields count="32">
    <cacheField name="Id" numFmtId="49">
      <sharedItems count="1">
        <s v="AA"/>
      </sharedItems>
    </cacheField>
    <cacheField name="Old Id" numFmtId="0">
      <sharedItems/>
    </cacheField>
    <cacheField name="i" numFmtId="0">
      <sharedItems/>
    </cacheField>
    <cacheField name="j" numFmtId="0">
      <sharedItems/>
    </cacheField>
    <cacheField name="k" numFmtId="0">
      <sharedItems containsNonDate="0" containsString="0" containsBlank="1"/>
    </cacheField>
    <cacheField name="l" numFmtId="0">
      <sharedItems containsNonDate="0" containsString="0" containsBlank="1"/>
    </cacheField>
    <cacheField name="Type" numFmtId="0">
      <sharedItems count="1">
        <s v="Policy"/>
      </sharedItems>
    </cacheField>
    <cacheField name="Title" numFmtId="0">
      <sharedItems/>
    </cacheField>
    <cacheField name="Acr." numFmtId="0">
      <sharedItems/>
    </cacheField>
    <cacheField name="Ver. (opt)" numFmtId="0">
      <sharedItems/>
    </cacheField>
    <cacheField name="Ext." numFmtId="0">
      <sharedItems/>
    </cacheField>
    <cacheField name="Filename" numFmtId="0">
      <sharedItems/>
    </cacheField>
    <cacheField name="Organisation" numFmtId="0">
      <sharedItems/>
    </cacheField>
    <cacheField name="OrgAcr" numFmtId="0">
      <sharedItems/>
    </cacheField>
    <cacheField name="Ref." numFmtId="0">
      <sharedItems count="1">
        <s v="itrust consulting, ISMS, Policy, DummyEntry (ITR-DummyEntry), #AA."/>
      </sharedItems>
    </cacheField>
    <cacheField name="Status" numFmtId="0">
      <sharedItems count="1">
        <s v="1.0 - Distributed"/>
      </sharedItems>
    </cacheField>
    <cacheField name="Classif." numFmtId="0">
      <sharedItems/>
    </cacheField>
    <cacheField name="Manager" numFmtId="0">
      <sharedItems/>
    </cacheField>
    <cacheField name="Owner" numFmtId="0">
      <sharedItems/>
    </cacheField>
    <cacheField name="Published" numFmtId="165">
      <sharedItems containsSemiMixedTypes="0" containsNonDate="0" containsDate="1" containsString="0" minDate="2024-11-05T00:00:00" maxDate="2024-11-06T00:00:00"/>
    </cacheField>
    <cacheField name="Folder" numFmtId="0">
      <sharedItems/>
    </cacheField>
    <cacheField name="last CC" numFmtId="164">
      <sharedItems containsSemiMixedTypes="0" containsNonDate="0" containsDate="1" containsString="0" minDate="1927-05-17T00:00:00" maxDate="1927-05-18T00:00:00"/>
    </cacheField>
    <cacheField name="Next reviewer" numFmtId="0">
      <sharedItems/>
    </cacheField>
    <cacheField name="Ticket or deadline" numFmtId="164">
      <sharedItems containsSemiMixedTypes="0" containsNonDate="0" containsDate="1" containsString="0" minDate="1927-05-17T00:00:00" maxDate="1927-05-18T00:00:00"/>
    </cacheField>
    <cacheField name="Confirm date" numFmtId="164">
      <sharedItems containsSemiMixedTypes="0" containsNonDate="0" containsDate="1" containsString="0" minDate="2024-11-05T00:00:00" maxDate="2024-11-06T00:00:00"/>
    </cacheField>
    <cacheField name="Next review plan" numFmtId="164">
      <sharedItems containsSemiMixedTypes="0" containsNonDate="0" containsDate="1" containsString="0" minDate="2025-11-05T00:00:00" maxDate="2025-11-06T00:00:00"/>
    </cacheField>
    <cacheField name="Month to next revison" numFmtId="0">
      <sharedItems containsSemiMixedTypes="0" containsString="0" containsNumber="1" containsInteger="1" minValue="7" maxValue="7"/>
    </cacheField>
    <cacheField name="Changed on" numFmtId="164">
      <sharedItems containsSemiMixedTypes="0" containsNonDate="0" containsDate="1" containsString="0" minDate="2024-06-12T00:00:00" maxDate="2024-06-13T00:00:00"/>
    </cacheField>
    <cacheField name="By" numFmtId="0">
      <sharedItems/>
    </cacheField>
    <cacheField name="Comments" numFmtId="0">
      <sharedItems/>
    </cacheField>
    <cacheField name="Pending action" numFmtId="0">
      <sharedItems containsNonDate="0" containsString="0" containsBlank="1"/>
    </cacheField>
    <cacheField name="Error"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s v="aa-aa"/>
    <s v="A"/>
    <s v="A"/>
    <m/>
    <m/>
    <x v="0"/>
    <s v="DummyEntry"/>
    <s v="DummyEntry"/>
    <s v="1.0"/>
    <s v="docx"/>
    <s v="AA_POL_ITR-DummyEntry_v1.0.docx"/>
    <s v="itrust consulting"/>
    <s v="ITR"/>
    <x v="0"/>
    <x v="0"/>
    <s v="IN-Internal"/>
    <s v="AAA"/>
    <s v="MD"/>
    <d v="2024-11-05T00:00:00"/>
    <s v="N:\MG\ISMS"/>
    <d v="1927-05-17T00:00:00"/>
    <s v="N/A"/>
    <d v="1927-05-17T00:00:00"/>
    <d v="2024-11-05T00:00:00"/>
    <d v="2025-11-05T00:00:00"/>
    <n v="7"/>
    <d v="2024-06-12T00:00:00"/>
    <s v="AAA"/>
    <s v="Dummy Entry do not delete"/>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9F544A5-6E24-4D20-8DC7-C718518F42CC}" name="PivotTable1" cacheId="18" applyNumberFormats="0" applyBorderFormats="0" applyFontFormats="0" applyPatternFormats="0" applyAlignmentFormats="0" applyWidthHeightFormats="1" dataCaption="Values" updatedVersion="8" minRefreshableVersion="3" useAutoFormatting="1" itemPrintTitles="1" createdVersion="8" indent="0" multipleFieldFilters="0">
  <location ref="A3:B7" firstHeaderRow="1" firstDataRow="1" firstDataCol="1"/>
  <pivotFields count="32">
    <pivotField axis="axisRow" dataField="1" showAll="0">
      <items count="2">
        <item x="0"/>
        <item t="default"/>
      </items>
    </pivotField>
    <pivotField showAll="0"/>
    <pivotField showAll="0"/>
    <pivotField showAll="0"/>
    <pivotField showAll="0"/>
    <pivotField showAll="0"/>
    <pivotField axis="axisRow" showAll="0">
      <items count="2">
        <item x="0"/>
        <item t="default"/>
      </items>
    </pivotField>
    <pivotField showAll="0"/>
    <pivotField showAll="0"/>
    <pivotField showAll="0"/>
    <pivotField showAll="0"/>
    <pivotField showAll="0"/>
    <pivotField showAll="0"/>
    <pivotField showAll="0"/>
    <pivotField showAll="0">
      <items count="2">
        <item x="0"/>
        <item t="default"/>
      </items>
    </pivotField>
    <pivotField axis="axisRow" showAll="0">
      <items count="2">
        <item x="0"/>
        <item t="default"/>
      </items>
    </pivotField>
    <pivotField showAll="0"/>
    <pivotField showAll="0"/>
    <pivotField showAll="0"/>
    <pivotField numFmtId="165" showAll="0"/>
    <pivotField showAll="0"/>
    <pivotField numFmtId="164" showAll="0"/>
    <pivotField showAll="0"/>
    <pivotField numFmtId="164" showAll="0"/>
    <pivotField numFmtId="164" showAll="0"/>
    <pivotField numFmtId="164" showAll="0"/>
    <pivotField showAll="0"/>
    <pivotField numFmtId="164" showAll="0"/>
    <pivotField showAll="0"/>
    <pivotField showAll="0"/>
    <pivotField showAll="0"/>
    <pivotField showAll="0"/>
  </pivotFields>
  <rowFields count="3">
    <field x="6"/>
    <field x="15"/>
    <field x="0"/>
  </rowFields>
  <rowItems count="4">
    <i>
      <x/>
    </i>
    <i r="1">
      <x/>
    </i>
    <i r="2">
      <x/>
    </i>
    <i t="grand">
      <x/>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7A9C96D-3340-41FB-8FF7-9CEDB45BD03D}" name="Table1" displayName="Table1" ref="A14:D15" totalsRowShown="0" dataDxfId="166" tableBorderDxfId="165" totalsRowBorderDxfId="164" headerRowCellStyle="Heading 4">
  <autoFilter ref="A14:D15" xr:uid="{DA53C3ED-75C2-4120-8DA7-F55F0FDEA131}"/>
  <tableColumns count="4">
    <tableColumn id="1" xr3:uid="{BEBBAD44-72AA-42B2-A10D-5CEE0D27B170}" name="Version" dataDxfId="163" dataCellStyle="Cell-Normal"/>
    <tableColumn id="2" xr3:uid="{4EE0448D-B219-415A-BFD3-F165B69B8AFD}" name="Date" dataDxfId="162" dataCellStyle="Date"/>
    <tableColumn id="3" xr3:uid="{6160469F-CF9B-4377-B558-27D14B279D61}" name="Author" dataDxfId="161" dataCellStyle="Cell-Normal"/>
    <tableColumn id="4" xr3:uid="{15E3A71D-70B9-42C8-8412-2A3AFB89B694}" name="Change management" dataDxfId="160" dataCellStyle="Cell-Normal"/>
  </tableColumns>
  <tableStyleInfo name="Table_B"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4F43418-E1E2-4B1F-9616-20E8C45F75A7}" name="Table839" displayName="Table839" ref="L3:M14" totalsRowShown="0" headerRowDxfId="159" dataCellStyle="Cell-Normal">
  <autoFilter ref="L3:M14" xr:uid="{5D2153D4-659F-4514-975E-3BD561C6604B}"/>
  <tableColumns count="2">
    <tableColumn id="1" xr3:uid="{7AF7A01D-0D27-449D-A045-57B2A9E7A675}" name="ID" dataCellStyle="Cell-Normal"/>
    <tableColumn id="2" xr3:uid="{FC86E20E-D606-4554-82B0-2B1C6E2895B3}" name="Topic" dataCellStyle="Cell-Normal"/>
  </tableColumns>
  <tableStyleInfo name="Table_B 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FB37DA7-BB66-4156-9975-DF1C7CEA17A4}" name="TableDocList" displayName="TableDocList" ref="A1:AG34" totalsRowCount="1" headerRowDxfId="158" dataDxfId="157" totalsRowDxfId="156">
  <autoFilter ref="A1:AG33" xr:uid="{F6150B04-4931-44F8-A9F8-54570CDA7D71}"/>
  <sortState xmlns:xlrd2="http://schemas.microsoft.com/office/spreadsheetml/2017/richdata2" ref="A2:AE2">
    <sortCondition ref="A1:A2"/>
  </sortState>
  <tableColumns count="33">
    <tableColumn id="2" xr3:uid="{5B69CF53-2F53-43A5-8FC3-3BA5DCE20AF9}" name="Id" totalsRowFunction="custom" dataDxfId="155" totalsRowDxfId="154" dataCellStyle="Cell-wrapped">
      <calculatedColumnFormula xml:space="preserve"> TableDocList[[#This Row],[i]] &amp;IF( TableDocList[[#This Row],[j]]=0, IF(TableDocList[[#This Row],[k]]&lt;&gt;0, TableDocList[[#This Row],[j]],""),TableDocList[[#This Row],[j]]) &amp; IF(TableDocList[[#This Row],[k]]=0,"",TableDocList[[#This Row],[k]]) &amp; IF(TableDocList[[#This Row],[l]]=0,"",TableDocList[[#This Row],[l]])</calculatedColumnFormula>
      <totalsRowFormula>SUBTOTAL(103,A2:A33)</totalsRowFormula>
    </tableColumn>
    <tableColumn id="33" xr3:uid="{3329C0F9-1707-4C5C-8E6E-62CFA20F5F86}" name="Old Id" dataDxfId="153" totalsRowDxfId="152" dataCellStyle="Cell-wrapped"/>
    <tableColumn id="25" xr3:uid="{9B87A2BA-A596-4A56-B44C-E292AC2FFC68}" name="i" dataDxfId="151" totalsRowDxfId="150" dataCellStyle="Cell-wrapped"/>
    <tableColumn id="24" xr3:uid="{F9FBEB27-F11F-4AF8-94D8-DA9EA4F7AED4}" name="j" dataDxfId="149" totalsRowDxfId="148" dataCellStyle="Cell-wrapped"/>
    <tableColumn id="15" xr3:uid="{ECD365AB-1944-4EBE-9779-A732D7EAA472}" name="k" dataDxfId="147" totalsRowDxfId="146" dataCellStyle="Cell-wrapped"/>
    <tableColumn id="31" xr3:uid="{B3E6073E-936B-4E2A-876F-C74C0E8D1B4D}" name="l" dataDxfId="145" totalsRowDxfId="144" dataCellStyle="Cell-wrapped"/>
    <tableColumn id="5" xr3:uid="{B47E284A-EDEC-4788-B237-FCE8538F3BE2}" name="Type" totalsRowFunction="custom" dataDxfId="143" totalsRowDxfId="142" dataCellStyle="Cell-wrapped">
      <totalsRowFormula>TableDocList[[#Totals],[Status]]/TableDocList[[#Totals],[Id]]</totalsRowFormula>
    </tableColumn>
    <tableColumn id="6" xr3:uid="{0C231E08-EF85-493A-B305-52D013941B21}" name="Title" dataDxfId="141" totalsRowDxfId="140" dataCellStyle="Cell-wrapped"/>
    <tableColumn id="4" xr3:uid="{42CAD8D1-553C-4F6E-BC5A-FB81AFAA492F}" name="Acr." dataDxfId="139" totalsRowDxfId="138" dataCellStyle="Cell-wrapped"/>
    <tableColumn id="7" xr3:uid="{C3AAF24C-BF8E-4FBA-8BBB-7165CF7F3A2E}" name="Ver. (opt)" dataDxfId="137" totalsRowDxfId="136" dataCellStyle="Cell-wrapped"/>
    <tableColumn id="8" xr3:uid="{AD2F876E-6789-4E5A-BCA7-C323E2E7D772}" name="Ext." dataDxfId="135" totalsRowDxfId="134" dataCellStyle="Cell-wrapped"/>
    <tableColumn id="9" xr3:uid="{B97CDD44-1F9F-4F1B-AC8E-5878ACF151CF}" name="Filename" dataDxfId="133" totalsRowDxfId="132" dataCellStyle="Cell-wrapped">
      <calculatedColumnFormula>TableDocList[[#This Row],[Id]] &amp; "_" &amp; VLOOKUP(TableDocList[[#This Row],[Type]],TableType[[#All],[Type]:[Type-ACR Re]],2,0) &amp; "_" &amp; TableDocList[[#This Row],[OrgAcr]] &amp; "-" &amp; TableDocList[[#This Row],[Acr.]] &amp;  IF(TableDocList[[#This Row],[Ver. (opt)]]="", "", "_v" &amp; TableDocList[[#This Row],[Ver. (opt)]] &amp; IF(TableDocList[[#This Row],[Ext.]]="","", "."&amp;TableDocList[[#This Row],[Ext.]]))</calculatedColumnFormula>
    </tableColumn>
    <tableColumn id="10" xr3:uid="{3FFAFC90-76A5-4A11-B9E3-36351A2599CE}" name="Organisation" dataDxfId="131" totalsRowDxfId="130" dataCellStyle="Cell-wrapped">
      <calculatedColumnFormula array="1">_xlfn.XLOOKUP(TableDocList[[#This Row],[OrgAcr]],TableOrg[[#All],[Org-ACR]],TableOrg[[#All],[Organization]],1,0)</calculatedColumnFormula>
    </tableColumn>
    <tableColumn id="3" xr3:uid="{9A815918-179B-46F7-9F8E-6C8E76186C07}" name="OrgAcr" dataDxfId="129" totalsRowDxfId="128" dataCellStyle="Cell-wrapped"/>
    <tableColumn id="11" xr3:uid="{C091061D-86A0-4C35-8038-7E663F3D6E64}" name="Ref." totalsRowLabel="Documents in Final status:" dataDxfId="127" totalsRowDxfId="126" dataCellStyle="Cell-wrapped">
      <calculatedColumnFormula>TableDocList[[#This Row],[Organisation]] &amp;", ISMS, " &amp; TableDocList[[#This Row],[Type]] &amp; ", " &amp; TableDocList[[#This Row],[Title]] &amp;" ("&amp; TableDocList[[#This Row],[OrgAcr]] &amp;"-"&amp; TableDocList[[#This Row],[Acr.]] &amp;"), #" &amp; TableDocList[[#This Row],[Id]]  &amp;"."</calculatedColumnFormula>
    </tableColumn>
    <tableColumn id="12" xr3:uid="{ABF8023F-D943-4965-9861-10EC597BEEC6}" name="Status" totalsRowFunction="count" dataDxfId="125" totalsRowDxfId="124" dataCellStyle="Cell-wrapped"/>
    <tableColumn id="13" xr3:uid="{D6FE8A20-7039-427F-B55B-00CDA1D9A52B}" name="Classif." dataDxfId="123" totalsRowDxfId="122" dataCellStyle="Cell-wrapped"/>
    <tableColumn id="21" xr3:uid="{1353A486-F74B-44D0-AB48-ECDDDF47FA06}" name="Manager" dataDxfId="121" totalsRowDxfId="120" dataCellStyle="Cell-wrapped"/>
    <tableColumn id="14" xr3:uid="{DF77E9BD-C94E-41B5-B570-9EBE0C87C20A}" name="Owner" dataDxfId="119" totalsRowDxfId="118" dataCellStyle="Cell-wrapped"/>
    <tableColumn id="22" xr3:uid="{F94C047A-7D4E-400E-B498-DA3D3B27E944}" name="Published" dataDxfId="117" totalsRowDxfId="116" dataCellStyle="Date"/>
    <tableColumn id="23" xr3:uid="{83BE10CF-5C04-42A8-8DF5-E17FAFDA13F7}" name="Folder" dataDxfId="115" totalsRowDxfId="114" dataCellStyle="Cell-wrapped"/>
    <tableColumn id="16" xr3:uid="{1E1E9D0F-0E1E-41A8-851C-E1F61A741062}" name="last CC" dataDxfId="113" totalsRowDxfId="112" dataCellStyle="Date"/>
    <tableColumn id="26" xr3:uid="{28F868B4-63EA-4DE9-AAA1-0ABC3376614A}" name="Next reviewer" totalsRowFunction="custom" dataDxfId="111" totalsRowDxfId="110" dataCellStyle="Cell-Normal">
      <totalsRowFormula>COUNTA(TableDocList[Next reviewer])-COUNTIF(TableDocList[Next reviewer],"N/A")</totalsRowFormula>
    </tableColumn>
    <tableColumn id="1" xr3:uid="{84548586-7436-4F52-999B-2A704C977DFF}" name="Ticket or deadline" totalsRowFunction="custom" dataDxfId="109" totalsRowDxfId="108" dataCellStyle="Date">
      <totalsRowFormula>COUNTIFS(TableDocList[Status],"Final",TableDocList[Ticket or deadline],"") / TableDocList[[#Totals],[Status]]</totalsRowFormula>
    </tableColumn>
    <tableColumn id="17" xr3:uid="{A155B27E-8B4B-4418-B5D5-685FD939A9F3}" name="Confirm date" totalsRowFunction="custom" dataDxfId="107" totalsRowDxfId="106" dataCellStyle="Date">
      <totalsRowFormula>SUBTOTAL(103,TableDocList[last CC])</totalsRowFormula>
    </tableColumn>
    <tableColumn id="19" xr3:uid="{E8E35A24-8162-46C2-AB8B-F85EA68FF194}" name="Next review plan" totalsRowFunction="custom" dataDxfId="105" totalsRowDxfId="104" dataCellStyle="Date">
      <calculatedColumnFormula>MAX(TableDocList[[#This Row],[Published]],TableDocList[[#This Row],[Confirm date]])+365</calculatedColumnFormula>
      <totalsRowFormula>TableDocList[[#Totals],[Month to next revison]]/TableDocList[[#Totals],[Confirm date]]</totalsRowFormula>
    </tableColumn>
    <tableColumn id="18" xr3:uid="{786C60C0-9C9F-474A-B34D-B76703DF78DB}" name="Month to next revison" totalsRowFunction="custom" dataDxfId="103" totalsRowDxfId="102" dataCellStyle="Cell-wrapped">
      <calculatedColumnFormula>IFERROR( ROUNDDOWN(IF(TableDocList[[#This Row],[Next review plan]]="", TableDocList[[#Headers],[Confirm date]]+365-TODAY(), TableDocList[[#This Row],[Next review plan]]-TODAY())/30,0), -13)</calculatedColumnFormula>
      <totalsRowFormula>COUNTIF(TableDocList[Month to next revison],"OK")</totalsRowFormula>
    </tableColumn>
    <tableColumn id="29" xr3:uid="{C27E7CB1-4A9E-4FC1-AF3B-279966CE791A}" name="Changed on" dataDxfId="101" totalsRowDxfId="100" dataCellStyle="Date"/>
    <tableColumn id="28" xr3:uid="{A0C82A32-5A86-4488-B946-94D0D7036244}" name="By" totalsRowFunction="count" dataDxfId="99" totalsRowDxfId="98" dataCellStyle="Cell-wrapped"/>
    <tableColumn id="20" xr3:uid="{3FA8DD14-E5A4-4C14-A381-704C4EC2EE6C}" name="Comments" totalsRowFunction="count" dataDxfId="97" totalsRowDxfId="96" dataCellStyle="Cell-wrapped"/>
    <tableColumn id="32" xr3:uid="{B646DD86-BFE4-4AD5-BB71-47C4DEB58016}" name="Pending action" dataDxfId="95" totalsRowDxfId="94" dataCellStyle="Cell-wrapped"/>
    <tableColumn id="27" xr3:uid="{F095C935-8EAE-4EF1-944E-B34F4A97E477}" name="Error" totalsRowFunction="count" dataDxfId="93" totalsRowDxfId="92" dataCellStyle="Cell-wrapped"/>
    <tableColumn id="34" xr3:uid="{DB5E7022-B7A9-42FF-9D9F-08972D1DFD57}" name="iSFilled" dataDxfId="91" totalsRowDxfId="90">
      <calculatedColumnFormula array="1">IsRowFilled(A2:AE33)</calculatedColumnFormula>
    </tableColumn>
  </tableColumns>
  <tableStyleInfo name="Table_B2" showFirstColumn="1"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91EEAEB-7F0A-4421-A0E9-6C936330F777}" name="TableMisc" displayName="TableMisc" ref="A1:AG10" totalsRowCount="1" headerRowDxfId="89" dataDxfId="88" totalsRowDxfId="87">
  <autoFilter ref="A1:AG9" xr:uid="{F6150B04-4931-44F8-A9F8-54570CDA7D71}"/>
  <sortState xmlns:xlrd2="http://schemas.microsoft.com/office/spreadsheetml/2017/richdata2" ref="A2:AE2">
    <sortCondition ref="A1:A2"/>
  </sortState>
  <tableColumns count="33">
    <tableColumn id="2" xr3:uid="{88402A56-24FE-4BA0-ADFC-1B763CD23041}" name="Id" totalsRowFunction="custom" dataDxfId="86" totalsRowDxfId="85" dataCellStyle="Cell-wrapped">
      <calculatedColumnFormula xml:space="preserve"> TableMisc[[#This Row],[i]] &amp;IF( TableMisc[[#This Row],[j]]=0, IF(TableMisc[[#This Row],[k]]&lt;&gt;0, TableMisc[[#This Row],[j]],""),TableMisc[[#This Row],[j]]) &amp; IF(TableMisc[[#This Row],[k]]=0,"",TableMisc[[#This Row],[k]]) &amp; IF(TableMisc[[#This Row],[l]]=0,"",TableMisc[[#This Row],[l]])</calculatedColumnFormula>
      <totalsRowFormula>SUBTOTAL(103,A2:A9)</totalsRowFormula>
    </tableColumn>
    <tableColumn id="33" xr3:uid="{8760A426-F79D-43C4-8431-D59FB98F0D08}" name="Old Id" dataDxfId="84" totalsRowDxfId="83" dataCellStyle="Cell-wrapped"/>
    <tableColumn id="25" xr3:uid="{BADDCC74-6E90-4148-9200-117B3E29130E}" name="i" dataDxfId="82" totalsRowDxfId="81" dataCellStyle="Cell-wrapped"/>
    <tableColumn id="24" xr3:uid="{0E8350DE-0978-466D-A7D3-5B09CF58DC60}" name="j" dataDxfId="80" totalsRowDxfId="79" dataCellStyle="Cell-wrapped"/>
    <tableColumn id="15" xr3:uid="{F0C17EA9-12DD-49EE-AC6A-8C5D317AF8EE}" name="k" dataDxfId="78" totalsRowDxfId="77" dataCellStyle="Cell-wrapped"/>
    <tableColumn id="31" xr3:uid="{0134F510-7D25-489A-A04D-54CEC219B2EF}" name="l" dataDxfId="76" totalsRowDxfId="75" dataCellStyle="Cell-wrapped"/>
    <tableColumn id="5" xr3:uid="{C7100D5A-A314-4F7E-8F7B-B314B68BD1AE}" name="Type" totalsRowFunction="custom" dataDxfId="74" totalsRowDxfId="73" dataCellStyle="Cell-wrapped">
      <totalsRowFormula>TableMisc[[#Totals],[Status]]/TableMisc[[#Totals],[Id]]</totalsRowFormula>
    </tableColumn>
    <tableColumn id="6" xr3:uid="{08AAEC55-8064-4F82-9DB5-1C90B23730FC}" name="Title" dataDxfId="72" totalsRowDxfId="71" dataCellStyle="Cell-wrapped"/>
    <tableColumn id="4" xr3:uid="{8F762EBC-9673-4894-81DC-1DE66AF4A4DF}" name="Acr." dataDxfId="70" totalsRowDxfId="69" dataCellStyle="Cell-wrapped"/>
    <tableColumn id="7" xr3:uid="{12140183-C6DB-4603-8AB0-5957B07C10B3}" name="Ver. (opt)" dataDxfId="68" totalsRowDxfId="67" dataCellStyle="Cell-wrapped"/>
    <tableColumn id="8" xr3:uid="{D4B780E8-0557-43C8-9B9B-117C4D1517FF}" name="Ext." dataDxfId="66" totalsRowDxfId="65" dataCellStyle="Cell-wrapped"/>
    <tableColumn id="9" xr3:uid="{2DFFF9DD-79DF-407F-9144-C48F8B5D9EBF}" name="Filename" dataDxfId="64" totalsRowDxfId="63" dataCellStyle="Cell-wrapped">
      <calculatedColumnFormula>TableMisc[[#This Row],[Id]] &amp; "_" &amp; VLOOKUP(TableMisc[[#This Row],[Type]],TableType[[#All],[Type]:[Type-ACR Re]],2,0) &amp; "_" &amp; TableMisc[[#This Row],[OrgAcr]] &amp; "-" &amp; TableMisc[[#This Row],[Acr.]] &amp;  IF(TableMisc[[#This Row],[Ver. (opt)]]="", "", "_v" &amp; TableMisc[[#This Row],[Ver. (opt)]] &amp; IF(TableMisc[[#This Row],[Ext.]]="","", "."&amp;TableMisc[[#This Row],[Ext.]]))</calculatedColumnFormula>
    </tableColumn>
    <tableColumn id="10" xr3:uid="{C61B5815-7093-453F-8127-08A21A06FD8B}" name="Organisation" dataDxfId="62" totalsRowDxfId="61" dataCellStyle="Cell-wrapped">
      <calculatedColumnFormula array="1">_xlfn.XLOOKUP(TableMisc[[#This Row],[OrgAcr]],TableOrg[[#All],[Org-ACR]],TableOrg[[#All],[Organization]],1,0)</calculatedColumnFormula>
    </tableColumn>
    <tableColumn id="3" xr3:uid="{15913AD7-C790-4B1C-A71A-3E8A2D11FB51}" name="OrgAcr" dataDxfId="60" totalsRowDxfId="59" dataCellStyle="Cell-wrapped"/>
    <tableColumn id="11" xr3:uid="{1FC5EAA6-5DE5-4DBA-A473-7FDA0A13E6AE}" name="Ref." totalsRowLabel="Documents in Final status:" dataDxfId="58" totalsRowDxfId="57" dataCellStyle="Cell-wrapped">
      <calculatedColumnFormula>TableMisc[[#This Row],[Organisation]] &amp;", ISMS, " &amp; TableMisc[[#This Row],[Type]] &amp; ", " &amp; TableMisc[[#This Row],[Title]] &amp;" ("&amp; TableMisc[[#This Row],[OrgAcr]] &amp;"-"&amp; TableMisc[[#This Row],[Acr.]] &amp;"), #" &amp; TableMisc[[#This Row],[Id]]  &amp;"."</calculatedColumnFormula>
    </tableColumn>
    <tableColumn id="12" xr3:uid="{809E311B-48A8-472E-AAD5-7F51892B5F68}" name="Status" totalsRowFunction="count" dataDxfId="56" totalsRowDxfId="55" dataCellStyle="Cell-wrapped"/>
    <tableColumn id="13" xr3:uid="{4E58428B-2856-4A6B-BC20-725EBA820F05}" name="Classif." dataDxfId="54" totalsRowDxfId="53" dataCellStyle="Cell-wrapped"/>
    <tableColumn id="21" xr3:uid="{9FDD4D1B-7327-4610-B977-5B8CB41CE729}" name="Manager" dataDxfId="52" totalsRowDxfId="51" dataCellStyle="Cell-wrapped"/>
    <tableColumn id="14" xr3:uid="{75D87672-3495-45C4-9B6E-9F403DF51781}" name="Owner" dataDxfId="50" totalsRowDxfId="49" dataCellStyle="Cell-wrapped"/>
    <tableColumn id="22" xr3:uid="{2824BACC-D0F9-40CF-8424-67EB6A7C0008}" name="Published" dataDxfId="48" totalsRowDxfId="47" dataCellStyle="Date"/>
    <tableColumn id="23" xr3:uid="{6C3B9CE2-D1E4-4D6B-8095-64FE48489AF3}" name="Folder" dataDxfId="46" totalsRowDxfId="45" dataCellStyle="Cell-wrapped"/>
    <tableColumn id="16" xr3:uid="{F6AFF725-92E8-4A4B-8799-7A92601AE261}" name="last CC" dataDxfId="44" totalsRowDxfId="43" dataCellStyle="Date"/>
    <tableColumn id="26" xr3:uid="{62611F03-BB7A-4631-9D6F-A2E93985B3B5}" name="Next reviewer" totalsRowFunction="custom" dataDxfId="42" totalsRowDxfId="41" dataCellStyle="Cell-Normal">
      <totalsRowFormula>COUNTA(TableMisc[Next reviewer])-COUNTIF(TableMisc[Next reviewer],"N/A")</totalsRowFormula>
    </tableColumn>
    <tableColumn id="1" xr3:uid="{899F980B-D1BD-4D87-ACA8-3ABFDCE90E15}" name="Ticket or deadline" totalsRowFunction="custom" dataDxfId="40" totalsRowDxfId="39" dataCellStyle="Date">
      <totalsRowFormula>COUNTIFS(TableMisc[Status],"Final",TableMisc[Ticket or deadline],"") / TableMisc[[#Totals],[Status]]</totalsRowFormula>
    </tableColumn>
    <tableColumn id="17" xr3:uid="{6789EE92-A2DF-4C3D-B7D2-5BB6155D5561}" name="Confirm date" totalsRowFunction="custom" dataDxfId="38" totalsRowDxfId="37" dataCellStyle="Date">
      <totalsRowFormula>SUBTOTAL(103,TableMisc[last CC])</totalsRowFormula>
    </tableColumn>
    <tableColumn id="19" xr3:uid="{E5337E25-C367-40B1-9012-65EF2848AD02}" name="Next review plan" totalsRowFunction="custom" dataDxfId="36" totalsRowDxfId="35" dataCellStyle="Date">
      <calculatedColumnFormula>MAX(TableMisc[[#This Row],[Published]],TableMisc[[#This Row],[Confirm date]])+365</calculatedColumnFormula>
      <totalsRowFormula>TableMisc[[#Totals],[Month to next revison]]/TableMisc[[#Totals],[Confirm date]]</totalsRowFormula>
    </tableColumn>
    <tableColumn id="18" xr3:uid="{9363D8B8-1F00-492C-9512-B91CFAA8975A}" name="Month to next revison" totalsRowFunction="custom" dataDxfId="34" totalsRowDxfId="33" dataCellStyle="Cell-wrapped">
      <calculatedColumnFormula>IFERROR( ROUNDDOWN(IF(TableMisc[[#This Row],[Next review plan]]="", TableMisc[[#Headers],[Confirm date]]+365-TODAY(), TableMisc[[#This Row],[Next review plan]]-TODAY())/30,0), -13)</calculatedColumnFormula>
      <totalsRowFormula>COUNTIF(TableMisc[Month to next revison],"OK")</totalsRowFormula>
    </tableColumn>
    <tableColumn id="29" xr3:uid="{1D850861-9EFF-4EEF-88C0-D997FC3085C6}" name="Changed on" dataDxfId="32" totalsRowDxfId="31" dataCellStyle="Date"/>
    <tableColumn id="28" xr3:uid="{B9D72B0F-1F5B-470F-AE89-E1B85A946968}" name="By" totalsRowFunction="count" dataDxfId="30" totalsRowDxfId="29" dataCellStyle="Cell-wrapped"/>
    <tableColumn id="20" xr3:uid="{6AC5BD23-8AAC-4271-B0F7-E69FF8EE10A1}" name="Comments" totalsRowFunction="count" dataDxfId="28" totalsRowDxfId="27" dataCellStyle="Cell-wrapped"/>
    <tableColumn id="32" xr3:uid="{B37A8FD4-4461-4749-9175-5A6F94DFE305}" name="Pending action" dataDxfId="26" totalsRowDxfId="25" dataCellStyle="Cell-wrapped"/>
    <tableColumn id="27" xr3:uid="{7CC96E50-DBDE-4B64-BC24-186EB5050CFE}" name="Error" totalsRowFunction="count" dataDxfId="24" totalsRowDxfId="23" dataCellStyle="Cell-wrapped"/>
    <tableColumn id="34" xr3:uid="{C5D0A904-E801-4FFA-92FE-31F09369210A}" name="iSFilled" dataDxfId="22" totalsRowDxfId="21">
      <calculatedColumnFormula array="1">IsRowFilled(A2:AE9)</calculatedColumnFormula>
    </tableColumn>
  </tableColumns>
  <tableStyleInfo name="Table_B2" showFirstColumn="1"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C10361-B40D-4DA9-9AE8-576AEC1A2294}" name="TableType" displayName="TableType" ref="A4:C14" totalsRowShown="0">
  <autoFilter ref="A4:C14" xr:uid="{3A77AC83-DF3C-4470-86FB-6CFB71C4FCEF}"/>
  <tableColumns count="3">
    <tableColumn id="1" xr3:uid="{E7CD9BE1-1E6C-4CA0-9972-2E17996ABF56}" name="Type-ACR"/>
    <tableColumn id="2" xr3:uid="{66EF40DB-9BCB-4DDA-97FE-500718D6ECB1}" name="Type"/>
    <tableColumn id="3" xr3:uid="{DA685F99-4918-4A9F-A544-7A343261060C}" name="Type-ACR Re"/>
  </tableColumns>
  <tableStyleInfo name="Table_B"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B93B72-2E1F-43F8-A415-02F95BB422DC}" name="TableOrg" displayName="TableOrg" ref="A17:B21" totalsRowShown="0">
  <autoFilter ref="A17:B21" xr:uid="{4CB401A9-B22B-48E9-BDC3-0441755F8F55}"/>
  <tableColumns count="2">
    <tableColumn id="1" xr3:uid="{17473574-9ADD-4896-9238-E858961C46EF}" name="Org-ACR"/>
    <tableColumn id="2" xr3:uid="{E69DEF9A-A2C1-4B2B-858E-D276024A31BF}" name="Organization"/>
  </tableColumns>
  <tableStyleInfo name="Table_B"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BC25AA8-971C-4D1E-8942-2536198EAB50}" name="TableStatus" displayName="TableStatus" ref="A24:D38" totalsRowShown="0" headerRowDxfId="20" dataCellStyle="Cell-Normal">
  <autoFilter ref="A24:D38" xr:uid="{2B7112C6-733A-4394-9533-943310D393E6}"/>
  <tableColumns count="4">
    <tableColumn id="3" xr3:uid="{83D7A2D5-FB08-4FDE-98BD-D4B433276CD3}" name="Distributed" dataCellStyle="Cell-Normal"/>
    <tableColumn id="1" xr3:uid="{A8D1F6F9-8E50-4330-87F4-2384ADD7BF8C}" name="Status" dataCellStyle="Cell-Normal"/>
    <tableColumn id="2" xr3:uid="{439B4972-47DF-4250-9535-A0D61F3953DB}" name="Version no's like" dataCellStyle="Cell-Normal"/>
    <tableColumn id="4" xr3:uid="{18F9700F-0525-4BFC-BC93-69AB25C94819}" name="ToolGen" dataCellStyle="Cell-Normal"/>
  </tableColumns>
  <tableStyleInfo name="Table_B"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5BE8A5-E40F-48E6-8A3B-E7534C583199}" name="TableClassif" displayName="TableClassif" ref="A40:A46" totalsRowShown="0" headerRowDxfId="19" dataDxfId="17" headerRowBorderDxfId="18" tableBorderDxfId="16" totalsRowBorderDxfId="15" dataCellStyle="Cell-Normal">
  <autoFilter ref="A40:A46" xr:uid="{FA2B5FF1-42AA-4D25-BEA3-EB1A97C929E6}"/>
  <tableColumns count="1">
    <tableColumn id="1" xr3:uid="{98347938-BEE4-4D91-BFE0-5548D7C94EFE}" name="Classification" dataDxfId="14" dataCellStyle="Cell-Normal"/>
  </tableColumns>
  <tableStyleInfo name="Table_B" showFirstColumn="0" showLastColumn="0" showRowStripes="1" showColumnStripes="0"/>
</table>
</file>

<file path=xl/theme/theme1.xml><?xml version="1.0" encoding="utf-8"?>
<a:theme xmlns:a="http://schemas.openxmlformats.org/drawingml/2006/main" name="ITR">
  <a:themeElements>
    <a:clrScheme name="Custom 7">
      <a:dk1>
        <a:sysClr val="windowText" lastClr="000000"/>
      </a:dk1>
      <a:lt1>
        <a:srgbClr val="FFFFFF"/>
      </a:lt1>
      <a:dk2>
        <a:srgbClr val="00A3E0"/>
      </a:dk2>
      <a:lt2>
        <a:srgbClr val="EBFAFF"/>
      </a:lt2>
      <a:accent1>
        <a:srgbClr val="E61F3D"/>
      </a:accent1>
      <a:accent2>
        <a:srgbClr val="F28855"/>
      </a:accent2>
      <a:accent3>
        <a:srgbClr val="9E88B8"/>
      </a:accent3>
      <a:accent4>
        <a:srgbClr val="FFF26E"/>
      </a:accent4>
      <a:accent5>
        <a:srgbClr val="E61F3D"/>
      </a:accent5>
      <a:accent6>
        <a:srgbClr val="92D050"/>
      </a:accent6>
      <a:hlink>
        <a:srgbClr val="007AA8"/>
      </a:hlink>
      <a:folHlink>
        <a:srgbClr val="00A3E0"/>
      </a:folHlink>
    </a:clrScheme>
    <a:fontScheme name="ITR">
      <a:majorFont>
        <a:latin typeface="Century"/>
        <a:ea typeface=""/>
        <a:cs typeface=""/>
      </a:majorFont>
      <a:minorFont>
        <a:latin typeface="Corbe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8.xml"/><Relationship Id="rId2" Type="http://schemas.openxmlformats.org/officeDocument/2006/relationships/printerSettings" Target="../printerSettings/printerSettings5.bin"/><Relationship Id="rId1" Type="http://schemas.openxmlformats.org/officeDocument/2006/relationships/hyperlink" Target="https://www.iso.org/home.html" TargetMode="Externa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1E64F-E961-45D9-A82F-A3DD0A8AF02D}">
  <sheetPr codeName="Sheet11">
    <pageSetUpPr fitToPage="1"/>
  </sheetPr>
  <dimension ref="A1:F15"/>
  <sheetViews>
    <sheetView zoomScale="85" zoomScaleNormal="85" zoomScalePageLayoutView="110" workbookViewId="0">
      <selection activeCell="D30" sqref="D30"/>
    </sheetView>
  </sheetViews>
  <sheetFormatPr defaultColWidth="9.19921875" defaultRowHeight="14.6" x14ac:dyDescent="0.3"/>
  <cols>
    <col min="1" max="2" width="15.296875" style="1" customWidth="1"/>
    <col min="3" max="3" width="21.796875" style="1" customWidth="1"/>
    <col min="4" max="4" width="65.296875" style="1" customWidth="1"/>
    <col min="5" max="16384" width="9.19921875" style="1"/>
  </cols>
  <sheetData>
    <row r="1" spans="1:6" ht="22.3" x14ac:dyDescent="0.3">
      <c r="A1" s="84" t="s">
        <v>136</v>
      </c>
      <c r="B1" s="84"/>
      <c r="C1" s="84"/>
      <c r="D1" s="84"/>
      <c r="F1" s="31"/>
    </row>
    <row r="2" spans="1:6" s="34" customFormat="1" ht="23.15" x14ac:dyDescent="0.3">
      <c r="A2" s="85" t="s">
        <v>137</v>
      </c>
      <c r="B2" s="85"/>
      <c r="C2" s="85"/>
      <c r="D2" s="85"/>
      <c r="E2" s="33"/>
    </row>
    <row r="3" spans="1:6" x14ac:dyDescent="0.3">
      <c r="A3" s="81"/>
      <c r="B3" s="81"/>
      <c r="C3" s="81"/>
      <c r="D3" s="81"/>
    </row>
    <row r="4" spans="1:6" ht="15" x14ac:dyDescent="0.3">
      <c r="A4" s="73" t="s">
        <v>138</v>
      </c>
      <c r="B4" s="73"/>
      <c r="C4" s="73"/>
      <c r="D4" s="73"/>
    </row>
    <row r="5" spans="1:6" s="30" customFormat="1" ht="14.15" x14ac:dyDescent="0.3">
      <c r="A5" s="86" t="s">
        <v>139</v>
      </c>
      <c r="B5" s="86"/>
      <c r="C5" s="87" t="s">
        <v>140</v>
      </c>
      <c r="D5" s="88"/>
    </row>
    <row r="6" spans="1:6" s="30" customFormat="1" ht="14.15" x14ac:dyDescent="0.3">
      <c r="A6" s="74" t="s">
        <v>141</v>
      </c>
      <c r="B6" s="74"/>
      <c r="C6" s="82" t="s">
        <v>34</v>
      </c>
      <c r="D6" s="83"/>
    </row>
    <row r="7" spans="1:6" s="30" customFormat="1" ht="14.15" x14ac:dyDescent="0.3">
      <c r="A7" s="74" t="s">
        <v>1</v>
      </c>
      <c r="B7" s="74"/>
      <c r="C7" s="82" t="s">
        <v>142</v>
      </c>
      <c r="D7" s="83"/>
    </row>
    <row r="8" spans="1:6" s="30" customFormat="1" ht="14.15" x14ac:dyDescent="0.3">
      <c r="A8" s="74" t="s">
        <v>0</v>
      </c>
      <c r="B8" s="74"/>
      <c r="C8" s="82" t="s">
        <v>143</v>
      </c>
      <c r="D8" s="83"/>
    </row>
    <row r="9" spans="1:6" s="30" customFormat="1" ht="14.15" x14ac:dyDescent="0.3">
      <c r="A9" s="74" t="s">
        <v>144</v>
      </c>
      <c r="B9" s="74"/>
      <c r="C9" s="75">
        <v>45827</v>
      </c>
      <c r="D9" s="76"/>
    </row>
    <row r="10" spans="1:6" s="30" customFormat="1" ht="14.15" x14ac:dyDescent="0.3">
      <c r="A10" s="77" t="s">
        <v>107</v>
      </c>
      <c r="B10" s="77"/>
      <c r="C10" s="78" t="s">
        <v>145</v>
      </c>
      <c r="D10" s="79"/>
    </row>
    <row r="11" spans="1:6" s="30" customFormat="1" ht="13.95" customHeight="1" x14ac:dyDescent="0.3">
      <c r="A11" s="80"/>
      <c r="B11" s="80"/>
      <c r="C11" s="80"/>
      <c r="D11" s="80"/>
    </row>
    <row r="12" spans="1:6" x14ac:dyDescent="0.3">
      <c r="A12" s="81"/>
      <c r="B12" s="81"/>
      <c r="C12" s="81"/>
      <c r="D12" s="81"/>
    </row>
    <row r="13" spans="1:6" ht="15" x14ac:dyDescent="0.3">
      <c r="A13" s="73" t="s">
        <v>146</v>
      </c>
      <c r="B13" s="73"/>
      <c r="C13" s="73"/>
      <c r="D13" s="73"/>
    </row>
    <row r="14" spans="1:6" x14ac:dyDescent="0.3">
      <c r="A14" s="35" t="s">
        <v>141</v>
      </c>
      <c r="B14" s="35" t="s">
        <v>147</v>
      </c>
      <c r="C14" s="35" t="s">
        <v>148</v>
      </c>
      <c r="D14" s="35" t="s">
        <v>149</v>
      </c>
    </row>
    <row r="15" spans="1:6" x14ac:dyDescent="0.3">
      <c r="A15" s="40" t="s">
        <v>34</v>
      </c>
      <c r="B15" s="36">
        <v>45827</v>
      </c>
      <c r="C15" s="37" t="s">
        <v>150</v>
      </c>
      <c r="D15" s="38" t="s">
        <v>151</v>
      </c>
    </row>
  </sheetData>
  <mergeCells count="19">
    <mergeCell ref="A1:D1"/>
    <mergeCell ref="A2:D2"/>
    <mergeCell ref="A3:D3"/>
    <mergeCell ref="A4:D4"/>
    <mergeCell ref="A5:B5"/>
    <mergeCell ref="C5:D5"/>
    <mergeCell ref="A6:B6"/>
    <mergeCell ref="C6:D6"/>
    <mergeCell ref="A7:B7"/>
    <mergeCell ref="C7:D7"/>
    <mergeCell ref="A8:B8"/>
    <mergeCell ref="C8:D8"/>
    <mergeCell ref="A13:D13"/>
    <mergeCell ref="A9:B9"/>
    <mergeCell ref="C9:D9"/>
    <mergeCell ref="A10:B10"/>
    <mergeCell ref="C10:D10"/>
    <mergeCell ref="A11:D11"/>
    <mergeCell ref="A12:D12"/>
  </mergeCells>
  <printOptions horizontalCentered="1"/>
  <pageMargins left="0.19685039370078741" right="0.19685039370078741" top="0.94488188976377963" bottom="0.74803149606299213" header="0.31496062992125984" footer="0.31496062992125984"/>
  <pageSetup paperSize="9" fitToHeight="0" orientation="portrait"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HF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8A0D0-7DB3-4D2F-88A3-FC0F4A7FEDC8}">
  <sheetPr codeName="Sheet2">
    <pageSetUpPr fitToPage="1"/>
  </sheetPr>
  <dimension ref="A1:O45"/>
  <sheetViews>
    <sheetView zoomScaleNormal="100" workbookViewId="0">
      <selection activeCell="D33" sqref="D33"/>
    </sheetView>
  </sheetViews>
  <sheetFormatPr defaultRowHeight="10.75" x14ac:dyDescent="0.3"/>
  <cols>
    <col min="2" max="3" width="9.296875" customWidth="1"/>
    <col min="11" max="11" width="17" customWidth="1"/>
    <col min="13" max="13" width="43.3984375" bestFit="1" customWidth="1"/>
    <col min="14" max="14" width="43" customWidth="1"/>
    <col min="15" max="15" width="36.69921875" customWidth="1"/>
    <col min="16" max="16" width="9.796875" customWidth="1"/>
  </cols>
  <sheetData>
    <row r="1" spans="1:15" ht="23.15" x14ac:dyDescent="0.3">
      <c r="A1" s="28" t="s">
        <v>114</v>
      </c>
      <c r="B1" s="34"/>
      <c r="C1" s="34"/>
      <c r="D1" s="34"/>
      <c r="E1" s="34"/>
      <c r="F1" s="34"/>
      <c r="G1" s="34"/>
      <c r="H1" s="34"/>
      <c r="I1" s="34"/>
      <c r="J1" s="34"/>
      <c r="K1" s="30"/>
      <c r="L1" s="34"/>
    </row>
    <row r="2" spans="1:15" ht="23.15" x14ac:dyDescent="0.35">
      <c r="A2" s="1" t="s">
        <v>115</v>
      </c>
      <c r="B2" s="1"/>
      <c r="C2" s="1"/>
      <c r="D2" s="1"/>
      <c r="E2" s="1"/>
      <c r="F2" s="1"/>
      <c r="G2" s="1"/>
      <c r="H2" s="1"/>
      <c r="I2" s="1"/>
      <c r="J2" s="1"/>
      <c r="K2" s="30"/>
      <c r="L2" s="34" t="s">
        <v>116</v>
      </c>
      <c r="M2" s="34"/>
      <c r="N2" s="29"/>
      <c r="O2" s="29"/>
    </row>
    <row r="3" spans="1:15" ht="14.6" x14ac:dyDescent="0.35">
      <c r="A3" s="1" t="s">
        <v>152</v>
      </c>
      <c r="B3" s="1"/>
      <c r="C3" s="1"/>
      <c r="D3" s="1"/>
      <c r="E3" s="1"/>
      <c r="F3" s="1"/>
      <c r="G3" s="1"/>
      <c r="H3" s="1"/>
      <c r="I3" s="1"/>
      <c r="J3" s="1"/>
      <c r="K3" s="1"/>
      <c r="L3" s="29" t="s">
        <v>117</v>
      </c>
      <c r="M3" s="29" t="s">
        <v>118</v>
      </c>
    </row>
    <row r="4" spans="1:15" ht="14.6" x14ac:dyDescent="0.3">
      <c r="A4" s="30"/>
      <c r="B4" s="30"/>
      <c r="C4" s="30"/>
      <c r="D4" s="30"/>
      <c r="E4" s="30"/>
      <c r="F4" s="30"/>
      <c r="G4" s="30"/>
      <c r="H4" s="30"/>
      <c r="I4" s="30"/>
      <c r="J4" s="30"/>
      <c r="K4" s="1"/>
      <c r="L4" s="26">
        <v>0</v>
      </c>
      <c r="M4" s="26" t="s">
        <v>119</v>
      </c>
    </row>
    <row r="5" spans="1:15" ht="14.6" x14ac:dyDescent="0.3">
      <c r="A5" s="89" t="s">
        <v>120</v>
      </c>
      <c r="B5" s="89"/>
      <c r="C5" s="89"/>
      <c r="D5" s="89"/>
      <c r="E5" s="89"/>
      <c r="F5" s="89"/>
      <c r="G5" s="89"/>
      <c r="H5" s="89"/>
      <c r="I5" s="30"/>
      <c r="J5" s="30"/>
      <c r="K5" s="1"/>
      <c r="L5" s="26">
        <v>1</v>
      </c>
      <c r="M5" s="26" t="s">
        <v>121</v>
      </c>
    </row>
    <row r="6" spans="1:15" ht="14.6" x14ac:dyDescent="0.3">
      <c r="A6" s="89"/>
      <c r="B6" s="89"/>
      <c r="C6" s="89"/>
      <c r="D6" s="89"/>
      <c r="E6" s="89"/>
      <c r="F6" s="89"/>
      <c r="G6" s="89"/>
      <c r="H6" s="89"/>
      <c r="I6" s="30"/>
      <c r="J6" s="30"/>
      <c r="K6" s="1"/>
      <c r="L6" s="26">
        <v>2</v>
      </c>
      <c r="M6" s="26" t="s">
        <v>122</v>
      </c>
    </row>
    <row r="7" spans="1:15" ht="14.6" x14ac:dyDescent="0.3">
      <c r="A7" s="89"/>
      <c r="B7" s="89"/>
      <c r="C7" s="89"/>
      <c r="D7" s="89"/>
      <c r="E7" s="89"/>
      <c r="F7" s="89"/>
      <c r="G7" s="89"/>
      <c r="H7" s="89"/>
      <c r="I7" s="30"/>
      <c r="J7" s="30"/>
      <c r="K7" s="1"/>
      <c r="L7" s="26">
        <v>3</v>
      </c>
      <c r="M7" s="26" t="s">
        <v>123</v>
      </c>
    </row>
    <row r="8" spans="1:15" ht="14.6" x14ac:dyDescent="0.3">
      <c r="A8" s="89"/>
      <c r="B8" s="89"/>
      <c r="C8" s="89"/>
      <c r="D8" s="89"/>
      <c r="E8" s="89"/>
      <c r="F8" s="89"/>
      <c r="G8" s="89"/>
      <c r="H8" s="89"/>
      <c r="I8" s="30"/>
      <c r="J8" s="30"/>
      <c r="K8" s="1"/>
      <c r="L8" s="26">
        <v>4</v>
      </c>
      <c r="M8" s="26" t="s">
        <v>124</v>
      </c>
    </row>
    <row r="9" spans="1:15" ht="15.45" customHeight="1" x14ac:dyDescent="0.3">
      <c r="A9" s="89"/>
      <c r="B9" s="89"/>
      <c r="C9" s="89"/>
      <c r="D9" s="89"/>
      <c r="E9" s="89"/>
      <c r="F9" s="89"/>
      <c r="G9" s="89"/>
      <c r="H9" s="89"/>
      <c r="I9" s="30"/>
      <c r="J9" s="30"/>
      <c r="K9" s="1"/>
      <c r="L9" s="26">
        <v>5</v>
      </c>
      <c r="M9" s="26" t="s">
        <v>125</v>
      </c>
    </row>
    <row r="10" spans="1:15" ht="14.6" x14ac:dyDescent="0.3">
      <c r="A10" s="30"/>
      <c r="B10" s="30"/>
      <c r="C10" s="30"/>
      <c r="D10" s="30"/>
      <c r="E10" s="30"/>
      <c r="F10" s="30"/>
      <c r="G10" s="30"/>
      <c r="H10" s="30"/>
      <c r="I10" s="30"/>
      <c r="J10" s="30"/>
      <c r="K10" s="1"/>
      <c r="L10" s="26">
        <v>6</v>
      </c>
      <c r="M10" s="26" t="s">
        <v>126</v>
      </c>
    </row>
    <row r="11" spans="1:15" ht="14.6" x14ac:dyDescent="0.3">
      <c r="A11" s="1"/>
      <c r="B11" s="1"/>
      <c r="C11" s="1"/>
      <c r="D11" s="1"/>
      <c r="E11" s="1"/>
      <c r="F11" s="1"/>
      <c r="G11" s="1"/>
      <c r="H11" s="1"/>
      <c r="I11" s="1"/>
      <c r="J11" s="1"/>
      <c r="K11" s="1"/>
      <c r="L11" s="26">
        <v>7</v>
      </c>
      <c r="M11" s="26" t="s">
        <v>127</v>
      </c>
    </row>
    <row r="12" spans="1:15" ht="14.6" x14ac:dyDescent="0.3">
      <c r="A12" s="1"/>
      <c r="B12" s="1"/>
      <c r="C12" s="1"/>
      <c r="D12" s="1"/>
      <c r="E12" s="1"/>
      <c r="F12" s="1"/>
      <c r="G12" s="1"/>
      <c r="H12" s="1"/>
      <c r="I12" s="1"/>
      <c r="J12" s="1"/>
      <c r="K12" s="1"/>
      <c r="L12" s="26">
        <v>8</v>
      </c>
      <c r="M12" s="26" t="s">
        <v>128</v>
      </c>
      <c r="N12" s="1"/>
      <c r="O12" s="1"/>
    </row>
    <row r="13" spans="1:15" ht="19.75" x14ac:dyDescent="0.3">
      <c r="A13" s="39" t="s">
        <v>129</v>
      </c>
      <c r="B13" s="32"/>
      <c r="C13" s="32"/>
      <c r="D13" s="1"/>
      <c r="E13" s="1"/>
      <c r="F13" s="1"/>
      <c r="G13" s="1"/>
      <c r="H13" s="1"/>
      <c r="I13" s="1"/>
      <c r="J13" s="1"/>
      <c r="K13" s="1"/>
      <c r="L13" s="26" t="s">
        <v>130</v>
      </c>
      <c r="M13" s="26" t="s">
        <v>131</v>
      </c>
      <c r="N13" s="1"/>
      <c r="O13" s="1"/>
    </row>
    <row r="14" spans="1:15" ht="14.6" x14ac:dyDescent="0.3">
      <c r="A14" s="1"/>
      <c r="B14" s="1"/>
      <c r="C14" s="1"/>
      <c r="D14" s="1"/>
      <c r="E14" s="1"/>
      <c r="F14" s="1"/>
      <c r="G14" s="1"/>
      <c r="H14" s="1"/>
      <c r="I14" s="1"/>
      <c r="J14" s="1"/>
      <c r="K14" s="1"/>
      <c r="L14" s="26" t="s">
        <v>132</v>
      </c>
      <c r="M14" s="26" t="s">
        <v>133</v>
      </c>
      <c r="N14" s="1"/>
      <c r="O14" s="1"/>
    </row>
    <row r="15" spans="1:15" ht="14.6" x14ac:dyDescent="0.3">
      <c r="A15" s="1"/>
      <c r="B15" s="1"/>
      <c r="C15" s="1"/>
      <c r="D15" s="1"/>
      <c r="E15" s="1"/>
      <c r="F15" s="1"/>
      <c r="G15" s="1"/>
      <c r="H15" s="1"/>
      <c r="I15" s="1"/>
      <c r="J15" s="1"/>
      <c r="K15" s="1"/>
      <c r="L15" s="1"/>
      <c r="N15" s="1"/>
      <c r="O15" s="1"/>
    </row>
    <row r="16" spans="1:15" ht="14.6" x14ac:dyDescent="0.3">
      <c r="A16" s="1"/>
      <c r="B16" s="1"/>
      <c r="C16" s="1"/>
      <c r="D16" s="1"/>
      <c r="E16" s="1"/>
      <c r="F16" s="1"/>
      <c r="G16" s="1"/>
      <c r="H16" s="1"/>
      <c r="I16" s="1"/>
      <c r="J16" s="1"/>
      <c r="K16" s="1"/>
      <c r="L16" s="1"/>
    </row>
    <row r="17" spans="1:12" ht="14.6" x14ac:dyDescent="0.3">
      <c r="A17" s="1"/>
      <c r="B17" s="1"/>
      <c r="C17" s="1"/>
      <c r="D17" s="1"/>
      <c r="E17" s="1"/>
      <c r="F17" s="1"/>
      <c r="G17" s="1"/>
      <c r="H17" s="1"/>
      <c r="I17" s="1"/>
      <c r="J17" s="1"/>
      <c r="K17" s="1"/>
      <c r="L17" s="1"/>
    </row>
    <row r="18" spans="1:12" ht="14.6" x14ac:dyDescent="0.3">
      <c r="A18" s="1"/>
      <c r="B18" s="1"/>
      <c r="C18" s="1"/>
      <c r="D18" s="1"/>
      <c r="E18" s="1"/>
      <c r="F18" s="1"/>
      <c r="G18" s="1"/>
      <c r="H18" s="1"/>
      <c r="I18" s="1"/>
      <c r="J18" s="1"/>
      <c r="K18" s="1"/>
      <c r="L18" s="1"/>
    </row>
    <row r="19" spans="1:12" ht="14.6" x14ac:dyDescent="0.3">
      <c r="A19" s="1"/>
      <c r="B19" s="1"/>
      <c r="C19" s="1"/>
      <c r="D19" s="1"/>
      <c r="E19" s="1"/>
      <c r="F19" s="1"/>
      <c r="G19" s="1"/>
      <c r="H19" s="1"/>
      <c r="I19" s="1"/>
      <c r="J19" s="1"/>
      <c r="K19" s="1"/>
      <c r="L19" s="1"/>
    </row>
    <row r="20" spans="1:12" ht="14.6" x14ac:dyDescent="0.3">
      <c r="A20" s="1"/>
      <c r="B20" s="1"/>
      <c r="C20" s="1"/>
      <c r="D20" s="1"/>
      <c r="E20" s="1"/>
      <c r="F20" s="1"/>
      <c r="G20" s="1"/>
      <c r="H20" s="1"/>
      <c r="I20" s="1"/>
      <c r="J20" s="1"/>
      <c r="L20" s="1"/>
    </row>
    <row r="21" spans="1:12" ht="14.6" x14ac:dyDescent="0.3">
      <c r="A21" s="1"/>
      <c r="B21" s="1"/>
      <c r="C21" s="1"/>
      <c r="D21" s="1"/>
      <c r="E21" s="1"/>
      <c r="F21" s="1"/>
      <c r="G21" s="1"/>
      <c r="H21" s="1"/>
      <c r="I21" s="1"/>
      <c r="J21" s="1"/>
      <c r="L21" s="1"/>
    </row>
    <row r="22" spans="1:12" ht="14.6" x14ac:dyDescent="0.3">
      <c r="A22" s="1" t="s">
        <v>134</v>
      </c>
      <c r="B22" s="1"/>
      <c r="C22" s="1"/>
      <c r="D22" s="1"/>
      <c r="E22" s="1"/>
      <c r="F22" s="1"/>
      <c r="G22" s="1"/>
      <c r="H22" s="1"/>
      <c r="I22" s="1"/>
      <c r="J22" s="1"/>
      <c r="L22" s="1"/>
    </row>
    <row r="23" spans="1:12" ht="14.6" x14ac:dyDescent="0.3">
      <c r="A23" s="1"/>
      <c r="B23" s="1"/>
      <c r="C23" s="1"/>
      <c r="D23" s="1"/>
      <c r="E23" s="1"/>
      <c r="F23" s="1"/>
      <c r="G23" s="1"/>
      <c r="H23" s="1"/>
      <c r="I23" s="1"/>
      <c r="J23" s="1"/>
      <c r="L23" s="1"/>
    </row>
    <row r="45" spans="3:7" ht="14.6" x14ac:dyDescent="0.3">
      <c r="C45" s="90" t="s">
        <v>135</v>
      </c>
      <c r="D45" s="91"/>
      <c r="E45" s="91"/>
      <c r="F45" s="91"/>
      <c r="G45" s="91"/>
    </row>
  </sheetData>
  <mergeCells count="2">
    <mergeCell ref="A5:H9"/>
    <mergeCell ref="C45:G45"/>
  </mergeCells>
  <pageMargins left="0.19685039370078741" right="0.19685039370078741" top="0.94488188976377963" bottom="0.74803149606299213" header="0.31496062992125984" footer="0.31496062992125984"/>
  <pageSetup paperSize="9" scale="51" orientation="portrait"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drawing r:id="rId2"/>
  <legacyDrawingHF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3AB9C-F071-4B97-B067-0E5392126C24}">
  <sheetPr codeName="Sheet14">
    <outlinePr summaryBelow="0" summaryRight="0"/>
    <pageSetUpPr fitToPage="1"/>
  </sheetPr>
  <dimension ref="A1:AG219"/>
  <sheetViews>
    <sheetView tabSelected="1" zoomScale="95" zoomScaleNormal="95" zoomScalePageLayoutView="70" workbookViewId="0">
      <selection activeCell="H42" sqref="H42"/>
    </sheetView>
  </sheetViews>
  <sheetFormatPr defaultColWidth="9.19921875" defaultRowHeight="12.9" outlineLevelCol="1" x14ac:dyDescent="0.3"/>
  <cols>
    <col min="1" max="1" width="11" style="51" customWidth="1"/>
    <col min="2" max="2" width="10.5" style="21" customWidth="1" outlineLevel="1"/>
    <col min="3" max="4" width="6.19921875" style="4" customWidth="1" outlineLevel="1"/>
    <col min="5" max="5" width="5.19921875" style="4" customWidth="1" outlineLevel="1"/>
    <col min="6" max="6" width="4.296875" style="4" customWidth="1" outlineLevel="1"/>
    <col min="7" max="7" width="14.296875" style="4" customWidth="1"/>
    <col min="8" max="8" width="17.19921875" style="4" customWidth="1" outlineLevel="1"/>
    <col min="9" max="9" width="26.19921875" style="4" customWidth="1"/>
    <col min="10" max="10" width="6.796875" style="21" customWidth="1" outlineLevel="1"/>
    <col min="11" max="11" width="11.296875" style="21" customWidth="1" outlineLevel="1"/>
    <col min="12" max="12" width="46.3984375" style="21" customWidth="1"/>
    <col min="13" max="13" width="20.5" style="21" customWidth="1" outlineLevel="1"/>
    <col min="14" max="14" width="6.19921875" style="21" customWidth="1" outlineLevel="1"/>
    <col min="15" max="15" width="8" style="21" customWidth="1" outlineLevel="1"/>
    <col min="16" max="16" width="20.296875" style="21" customWidth="1" outlineLevel="1"/>
    <col min="17" max="17" width="14" style="21" customWidth="1" outlineLevel="1"/>
    <col min="18" max="19" width="9" style="21" customWidth="1"/>
    <col min="20" max="20" width="12.5" style="20" customWidth="1"/>
    <col min="21" max="21" width="19.8984375" style="21" customWidth="1" outlineLevel="1"/>
    <col min="22" max="22" width="10.796875" style="4" customWidth="1" outlineLevel="1"/>
    <col min="23" max="23" width="7.796875" style="4" customWidth="1" outlineLevel="1"/>
    <col min="24" max="24" width="14.8984375" style="4" customWidth="1" outlineLevel="1"/>
    <col min="25" max="25" width="14.19921875" style="20" customWidth="1" outlineLevel="1"/>
    <col min="26" max="26" width="13.19921875" style="20" customWidth="1"/>
    <col min="27" max="27" width="14.19921875" style="4" customWidth="1" outlineLevel="1"/>
    <col min="28" max="28" width="14.796875" style="20" customWidth="1" outlineLevel="1"/>
    <col min="29" max="29" width="7.796875" style="21" customWidth="1" outlineLevel="1"/>
    <col min="30" max="30" width="35" style="21" customWidth="1" outlineLevel="1"/>
    <col min="31" max="31" width="28.796875" style="21" customWidth="1" outlineLevel="1"/>
    <col min="32" max="32" width="9.19921875" style="12"/>
    <col min="33" max="33" width="17.3984375" style="12" customWidth="1"/>
    <col min="34" max="16384" width="9.19921875" style="12"/>
  </cols>
  <sheetData>
    <row r="1" spans="1:33" s="9" customFormat="1" ht="14.25" customHeight="1" x14ac:dyDescent="0.3">
      <c r="A1" s="49" t="s">
        <v>9</v>
      </c>
      <c r="B1" s="2" t="s">
        <v>10</v>
      </c>
      <c r="C1" s="8" t="s">
        <v>11</v>
      </c>
      <c r="D1" s="8" t="s">
        <v>12</v>
      </c>
      <c r="E1" s="8" t="s">
        <v>13</v>
      </c>
      <c r="F1" s="8" t="s">
        <v>14</v>
      </c>
      <c r="G1" s="2" t="s">
        <v>3</v>
      </c>
      <c r="H1" s="2" t="s">
        <v>15</v>
      </c>
      <c r="I1" s="2" t="s">
        <v>16</v>
      </c>
      <c r="J1" s="2" t="s">
        <v>17</v>
      </c>
      <c r="K1" s="2" t="s">
        <v>4</v>
      </c>
      <c r="L1" s="2" t="s">
        <v>5</v>
      </c>
      <c r="M1" s="2" t="s">
        <v>18</v>
      </c>
      <c r="N1" s="2" t="s">
        <v>19</v>
      </c>
      <c r="O1" s="2" t="s">
        <v>20</v>
      </c>
      <c r="P1" s="2" t="s">
        <v>1</v>
      </c>
      <c r="Q1" s="2" t="s">
        <v>21</v>
      </c>
      <c r="R1" s="2" t="s">
        <v>22</v>
      </c>
      <c r="S1" s="2" t="s">
        <v>0</v>
      </c>
      <c r="T1" s="2" t="s">
        <v>23</v>
      </c>
      <c r="U1" s="2" t="s">
        <v>6</v>
      </c>
      <c r="V1" s="2" t="s">
        <v>24</v>
      </c>
      <c r="W1" s="2" t="s">
        <v>25</v>
      </c>
      <c r="X1" s="2" t="s">
        <v>26</v>
      </c>
      <c r="Y1" s="2" t="s">
        <v>27</v>
      </c>
      <c r="Z1" s="2" t="s">
        <v>28</v>
      </c>
      <c r="AA1" s="2" t="s">
        <v>29</v>
      </c>
      <c r="AB1" s="2" t="s">
        <v>30</v>
      </c>
      <c r="AC1" s="2" t="s">
        <v>31</v>
      </c>
      <c r="AD1" s="2" t="s">
        <v>2</v>
      </c>
      <c r="AE1" s="2" t="s">
        <v>32</v>
      </c>
      <c r="AF1" s="9" t="s">
        <v>45</v>
      </c>
      <c r="AG1" s="9" t="s">
        <v>158</v>
      </c>
    </row>
    <row r="2" spans="1:33" s="10" customFormat="1" ht="14.25" customHeight="1" x14ac:dyDescent="0.3">
      <c r="A2" s="41" t="str">
        <f xml:space="preserve"> TableDocList[[#This Row],[i]] &amp;IF( TableDocList[[#This Row],[j]]=0, IF(TableDocList[[#This Row],[k]]&lt;&gt;0, TableDocList[[#This Row],[j]],""),TableDocList[[#This Row],[j]]) &amp; IF(TableDocList[[#This Row],[k]]=0,"",TableDocList[[#This Row],[k]]) &amp; IF(TableDocList[[#This Row],[l]]=0,"",TableDocList[[#This Row],[l]])</f>
        <v>AA</v>
      </c>
      <c r="B2" s="4" t="s">
        <v>48</v>
      </c>
      <c r="C2" s="4" t="s">
        <v>47</v>
      </c>
      <c r="D2" s="4" t="s">
        <v>47</v>
      </c>
      <c r="E2" s="4"/>
      <c r="F2" s="4"/>
      <c r="G2" s="5" t="s">
        <v>7</v>
      </c>
      <c r="H2" s="4" t="s">
        <v>42</v>
      </c>
      <c r="I2" s="4" t="s">
        <v>42</v>
      </c>
      <c r="J2" s="6" t="s">
        <v>34</v>
      </c>
      <c r="K2" s="6" t="s">
        <v>36</v>
      </c>
      <c r="L2" s="6" t="str">
        <f>TableDocList[[#This Row],[Id]] &amp; "_" &amp; VLOOKUP(TableDocList[[#This Row],[Type]],TableType[[#All],[Type]:[Type-ACR Re]],2,0) &amp; "_" &amp; TableDocList[[#This Row],[OrgAcr]] &amp; "-" &amp; TableDocList[[#This Row],[Acr.]] &amp;  IF(TableDocList[[#This Row],[Ver. (opt)]]="", "", "_v" &amp; TableDocList[[#This Row],[Ver. (opt)]] &amp; IF(TableDocList[[#This Row],[Ext.]]="","", "."&amp;TableDocList[[#This Row],[Ext.]]))</f>
        <v>AA_POL_ITR-DummyEntry_v1.0.docx</v>
      </c>
      <c r="M2" s="6" t="str" cm="1">
        <f t="array" ref="M2">_xlfn.XLOOKUP(TableDocList[[#This Row],[OrgAcr]],TableOrg[[#All],[Org-ACR]],TableOrg[[#All],[Organization]],1,0)</f>
        <v>itrust consulting</v>
      </c>
      <c r="N2" s="6" t="s">
        <v>8</v>
      </c>
      <c r="O2" s="6" t="str">
        <f>TableDocList[[#This Row],[Organisation]] &amp;", ISMS, " &amp; TableDocList[[#This Row],[Type]] &amp; ", " &amp; TableDocList[[#This Row],[Title]] &amp;" ("&amp; TableDocList[[#This Row],[OrgAcr]] &amp;"-"&amp; TableDocList[[#This Row],[Acr.]] &amp;"), #" &amp; TableDocList[[#This Row],[Id]]  &amp;"."</f>
        <v>itrust consulting, ISMS, Policy, DummyEntry (ITR-DummyEntry), #AA.</v>
      </c>
      <c r="P2" s="6" t="s">
        <v>35</v>
      </c>
      <c r="Q2" s="6" t="s">
        <v>46</v>
      </c>
      <c r="R2" s="6" t="s">
        <v>43</v>
      </c>
      <c r="S2" s="4" t="s">
        <v>37</v>
      </c>
      <c r="T2" s="52">
        <v>45601</v>
      </c>
      <c r="U2" s="6" t="s">
        <v>39</v>
      </c>
      <c r="V2" s="22">
        <v>9999</v>
      </c>
      <c r="W2" s="7" t="s">
        <v>38</v>
      </c>
      <c r="X2" s="22">
        <v>9999</v>
      </c>
      <c r="Y2" s="53">
        <v>45601</v>
      </c>
      <c r="Z2" s="53">
        <f>MAX(TableDocList[[#This Row],[Published]],TableDocList[[#This Row],[Confirm date]])+365</f>
        <v>45966</v>
      </c>
      <c r="AA2" s="6">
        <f ca="1">IFERROR( ROUNDDOWN(IF(TableDocList[[#This Row],[Next review plan]]="", TableDocList[[#Headers],[Confirm date]]+365-TODAY(), TableDocList[[#This Row],[Next review plan]]-TODAY())/30,0), -13)</f>
        <v>4</v>
      </c>
      <c r="AB2" s="53">
        <v>45455</v>
      </c>
      <c r="AC2" s="6" t="s">
        <v>43</v>
      </c>
      <c r="AD2" s="6" t="s">
        <v>44</v>
      </c>
      <c r="AE2" s="6"/>
      <c r="AF2" s="66"/>
      <c r="AG2" s="71" t="b" cm="1">
        <f t="array" ref="AG2">IsRowFilled(A2:AE33)</f>
        <v>0</v>
      </c>
    </row>
    <row r="3" spans="1:33" s="10" customFormat="1" ht="14.25" customHeight="1" x14ac:dyDescent="0.3">
      <c r="A3" s="48" t="s">
        <v>159</v>
      </c>
      <c r="B3" s="4"/>
      <c r="C3" s="4"/>
      <c r="D3" s="4"/>
      <c r="E3" s="4"/>
      <c r="F3" s="4"/>
      <c r="G3" s="5" t="s">
        <v>7</v>
      </c>
      <c r="H3" s="4" t="s">
        <v>160</v>
      </c>
      <c r="I3" s="4" t="s">
        <v>161</v>
      </c>
      <c r="J3" s="6" t="s">
        <v>162</v>
      </c>
      <c r="K3" s="6" t="s">
        <v>163</v>
      </c>
      <c r="L3" s="6" t="s">
        <v>164</v>
      </c>
      <c r="M3" s="6" t="s">
        <v>33</v>
      </c>
      <c r="N3" s="6" t="s">
        <v>8</v>
      </c>
      <c r="O3" s="6"/>
      <c r="P3" s="6" t="s">
        <v>102</v>
      </c>
      <c r="Q3" s="6" t="s">
        <v>145</v>
      </c>
      <c r="R3" s="6"/>
      <c r="S3" s="4" t="s">
        <v>165</v>
      </c>
      <c r="T3" s="52">
        <v>45757</v>
      </c>
      <c r="U3" s="6" t="s">
        <v>166</v>
      </c>
      <c r="V3" s="22"/>
      <c r="W3" s="7"/>
      <c r="X3" s="22"/>
      <c r="Y3" s="53"/>
      <c r="Z3" s="53"/>
      <c r="AA3" s="6"/>
      <c r="AB3" s="53">
        <v>45757</v>
      </c>
      <c r="AC3" s="6"/>
      <c r="AD3" s="6"/>
      <c r="AE3" s="6"/>
      <c r="AF3" s="64"/>
      <c r="AG3" s="71"/>
    </row>
    <row r="4" spans="1:33" s="10" customFormat="1" ht="14.25" customHeight="1" x14ac:dyDescent="0.3">
      <c r="A4" s="41" t="s">
        <v>167</v>
      </c>
      <c r="B4" s="4"/>
      <c r="C4" s="4"/>
      <c r="D4" s="4"/>
      <c r="E4" s="4"/>
      <c r="F4" s="4"/>
      <c r="G4" s="5" t="s">
        <v>54</v>
      </c>
      <c r="H4" s="4" t="s">
        <v>168</v>
      </c>
      <c r="I4" s="4" t="s">
        <v>169</v>
      </c>
      <c r="J4" s="6" t="s">
        <v>170</v>
      </c>
      <c r="K4" s="6" t="s">
        <v>171</v>
      </c>
      <c r="L4" s="6" t="s">
        <v>172</v>
      </c>
      <c r="M4" s="6" t="s">
        <v>33</v>
      </c>
      <c r="N4" s="6" t="s">
        <v>8</v>
      </c>
      <c r="O4" s="6"/>
      <c r="P4" s="6" t="s">
        <v>95</v>
      </c>
      <c r="Q4" s="6"/>
      <c r="R4" s="6"/>
      <c r="S4" s="4" t="s">
        <v>165</v>
      </c>
      <c r="T4" s="52"/>
      <c r="U4" s="6" t="s">
        <v>173</v>
      </c>
      <c r="V4" s="22"/>
      <c r="W4" s="7"/>
      <c r="X4" s="22"/>
      <c r="Y4" s="53"/>
      <c r="Z4" s="53"/>
      <c r="AA4" s="6"/>
      <c r="AB4" s="53">
        <v>45757</v>
      </c>
      <c r="AC4" s="6"/>
      <c r="AD4" s="6"/>
      <c r="AE4" s="6"/>
      <c r="AF4" s="64" t="s">
        <v>174</v>
      </c>
      <c r="AG4" s="71"/>
    </row>
    <row r="5" spans="1:33" s="10" customFormat="1" ht="14.25" customHeight="1" x14ac:dyDescent="0.3">
      <c r="A5" s="41" t="s">
        <v>175</v>
      </c>
      <c r="B5" s="4"/>
      <c r="C5" s="4"/>
      <c r="D5" s="4"/>
      <c r="E5" s="4"/>
      <c r="F5" s="4"/>
      <c r="G5" s="5" t="s">
        <v>47</v>
      </c>
      <c r="H5" s="4" t="s">
        <v>176</v>
      </c>
      <c r="I5" s="4" t="s">
        <v>177</v>
      </c>
      <c r="J5" s="6" t="s">
        <v>178</v>
      </c>
      <c r="K5" s="6" t="s">
        <v>171</v>
      </c>
      <c r="L5" s="6" t="s">
        <v>179</v>
      </c>
      <c r="M5" s="6" t="s">
        <v>33</v>
      </c>
      <c r="N5" s="6" t="s">
        <v>8</v>
      </c>
      <c r="O5" s="6"/>
      <c r="P5" s="6" t="s">
        <v>89</v>
      </c>
      <c r="Q5" s="6"/>
      <c r="R5" s="6"/>
      <c r="S5" s="4" t="s">
        <v>165</v>
      </c>
      <c r="T5" s="52"/>
      <c r="U5" s="6" t="s">
        <v>180</v>
      </c>
      <c r="V5" s="22"/>
      <c r="W5" s="7"/>
      <c r="X5" s="22"/>
      <c r="Y5" s="53"/>
      <c r="Z5" s="53"/>
      <c r="AA5" s="6"/>
      <c r="AB5" s="53">
        <v>45757</v>
      </c>
      <c r="AC5" s="6"/>
      <c r="AD5" s="6"/>
      <c r="AE5" s="6"/>
      <c r="AF5" s="64" t="s">
        <v>181</v>
      </c>
      <c r="AG5" s="71"/>
    </row>
    <row r="6" spans="1:33" s="10" customFormat="1" ht="14.25" customHeight="1" x14ac:dyDescent="0.3">
      <c r="A6" s="41" t="s">
        <v>182</v>
      </c>
      <c r="B6" s="4"/>
      <c r="C6" s="4"/>
      <c r="D6" s="4"/>
      <c r="E6" s="4"/>
      <c r="F6" s="4"/>
      <c r="G6" s="5" t="s">
        <v>183</v>
      </c>
      <c r="H6" s="4" t="s">
        <v>184</v>
      </c>
      <c r="I6" s="4" t="s">
        <v>185</v>
      </c>
      <c r="J6" s="6" t="s">
        <v>186</v>
      </c>
      <c r="K6" s="6" t="s">
        <v>187</v>
      </c>
      <c r="L6" s="6" t="s">
        <v>188</v>
      </c>
      <c r="M6" s="6" t="s">
        <v>33</v>
      </c>
      <c r="N6" s="6" t="s">
        <v>189</v>
      </c>
      <c r="O6" s="6"/>
      <c r="P6" s="6" t="s">
        <v>89</v>
      </c>
      <c r="Q6" s="6"/>
      <c r="R6" s="6"/>
      <c r="S6" s="4" t="s">
        <v>190</v>
      </c>
      <c r="T6" s="52"/>
      <c r="U6" s="6" t="s">
        <v>191</v>
      </c>
      <c r="V6" s="22"/>
      <c r="W6" s="7"/>
      <c r="X6" s="22"/>
      <c r="Y6" s="53"/>
      <c r="Z6" s="53"/>
      <c r="AA6" s="6"/>
      <c r="AB6" s="53">
        <v>45754</v>
      </c>
      <c r="AC6" s="6"/>
      <c r="AD6" s="6"/>
      <c r="AE6" s="6"/>
      <c r="AF6" s="64" t="s">
        <v>192</v>
      </c>
      <c r="AG6" s="71"/>
    </row>
    <row r="7" spans="1:33" s="10" customFormat="1" ht="14.25" customHeight="1" x14ac:dyDescent="0.3">
      <c r="A7" s="54" t="s">
        <v>193</v>
      </c>
      <c r="B7" s="55"/>
      <c r="C7" s="55"/>
      <c r="D7" s="55"/>
      <c r="E7" s="55"/>
      <c r="F7" s="55"/>
      <c r="G7" s="56" t="s">
        <v>7</v>
      </c>
      <c r="H7" s="55" t="s">
        <v>194</v>
      </c>
      <c r="I7" s="55" t="s">
        <v>195</v>
      </c>
      <c r="J7" s="57" t="s">
        <v>196</v>
      </c>
      <c r="K7" s="57" t="s">
        <v>163</v>
      </c>
      <c r="L7" s="57" t="s">
        <v>197</v>
      </c>
      <c r="M7" s="57" t="s">
        <v>33</v>
      </c>
      <c r="N7" s="57" t="s">
        <v>8</v>
      </c>
      <c r="O7" s="57"/>
      <c r="P7" s="57" t="s">
        <v>98</v>
      </c>
      <c r="Q7" s="57" t="s">
        <v>198</v>
      </c>
      <c r="R7" s="57"/>
      <c r="S7" s="55" t="s">
        <v>165</v>
      </c>
      <c r="T7" s="58"/>
      <c r="U7" s="57" t="s">
        <v>199</v>
      </c>
      <c r="V7" s="59"/>
      <c r="W7" s="60"/>
      <c r="X7" s="59"/>
      <c r="Y7" s="61"/>
      <c r="Z7" s="61"/>
      <c r="AA7" s="57"/>
      <c r="AB7" s="61">
        <v>45758</v>
      </c>
      <c r="AC7" s="57"/>
      <c r="AD7" s="57"/>
      <c r="AE7" s="57"/>
      <c r="AF7" s="72" t="s">
        <v>200</v>
      </c>
      <c r="AG7" s="71"/>
    </row>
    <row r="8" spans="1:33" s="10" customFormat="1" ht="14.25" customHeight="1" x14ac:dyDescent="0.3">
      <c r="A8" s="54" t="s">
        <v>193</v>
      </c>
      <c r="B8" s="55"/>
      <c r="C8" s="55"/>
      <c r="D8" s="55"/>
      <c r="E8" s="55"/>
      <c r="F8" s="55"/>
      <c r="G8" s="56" t="s">
        <v>7</v>
      </c>
      <c r="H8" s="55" t="s">
        <v>194</v>
      </c>
      <c r="I8" s="55" t="s">
        <v>201</v>
      </c>
      <c r="J8" s="57" t="s">
        <v>196</v>
      </c>
      <c r="K8" s="57" t="s">
        <v>163</v>
      </c>
      <c r="L8" s="57" t="s">
        <v>202</v>
      </c>
      <c r="M8" s="57" t="s">
        <v>33</v>
      </c>
      <c r="N8" s="57" t="s">
        <v>8</v>
      </c>
      <c r="O8" s="57"/>
      <c r="P8" s="57" t="s">
        <v>98</v>
      </c>
      <c r="Q8" s="57" t="s">
        <v>198</v>
      </c>
      <c r="R8" s="57"/>
      <c r="S8" s="55" t="s">
        <v>165</v>
      </c>
      <c r="T8" s="58"/>
      <c r="U8" s="57" t="s">
        <v>199</v>
      </c>
      <c r="V8" s="59"/>
      <c r="W8" s="60"/>
      <c r="X8" s="59"/>
      <c r="Y8" s="61"/>
      <c r="Z8" s="61"/>
      <c r="AA8" s="57"/>
      <c r="AB8" s="61">
        <v>45758</v>
      </c>
      <c r="AC8" s="57"/>
      <c r="AD8" s="57"/>
      <c r="AE8" s="57"/>
      <c r="AF8" s="72" t="s">
        <v>203</v>
      </c>
      <c r="AG8" s="71"/>
    </row>
    <row r="9" spans="1:33" s="10" customFormat="1" ht="14.25" customHeight="1" x14ac:dyDescent="0.3">
      <c r="A9" s="48" t="s">
        <v>204</v>
      </c>
      <c r="B9" s="4"/>
      <c r="C9" s="11" t="s">
        <v>193</v>
      </c>
      <c r="D9" s="11" t="s">
        <v>205</v>
      </c>
      <c r="E9" s="11" t="s">
        <v>193</v>
      </c>
      <c r="F9" s="4"/>
      <c r="G9" s="5" t="s">
        <v>59</v>
      </c>
      <c r="H9" s="4" t="s">
        <v>206</v>
      </c>
      <c r="I9" s="4" t="s">
        <v>207</v>
      </c>
      <c r="J9" s="6" t="s">
        <v>208</v>
      </c>
      <c r="K9" s="6" t="s">
        <v>163</v>
      </c>
      <c r="L9" s="6" t="s">
        <v>209</v>
      </c>
      <c r="M9" s="6" t="s">
        <v>33</v>
      </c>
      <c r="N9" s="6" t="s">
        <v>8</v>
      </c>
      <c r="O9" s="6"/>
      <c r="P9" s="6" t="s">
        <v>98</v>
      </c>
      <c r="Q9" s="6" t="s">
        <v>145</v>
      </c>
      <c r="R9" s="6"/>
      <c r="S9" s="4" t="s">
        <v>165</v>
      </c>
      <c r="T9" s="52"/>
      <c r="U9" s="6" t="s">
        <v>210</v>
      </c>
      <c r="V9" s="22"/>
      <c r="W9" s="7"/>
      <c r="X9" s="22"/>
      <c r="Y9" s="53"/>
      <c r="Z9" s="53"/>
      <c r="AA9" s="6"/>
      <c r="AB9" s="53">
        <v>45758</v>
      </c>
      <c r="AC9" s="6" t="s">
        <v>8</v>
      </c>
      <c r="AD9" s="6" t="s">
        <v>211</v>
      </c>
      <c r="AE9" s="6"/>
      <c r="AF9" s="72" t="s">
        <v>212</v>
      </c>
      <c r="AG9" s="71"/>
    </row>
    <row r="10" spans="1:33" s="10" customFormat="1" ht="14.25" customHeight="1" x14ac:dyDescent="0.3">
      <c r="A10" s="48" t="s">
        <v>204</v>
      </c>
      <c r="B10" s="4"/>
      <c r="C10" s="11" t="s">
        <v>193</v>
      </c>
      <c r="D10" s="11" t="s">
        <v>205</v>
      </c>
      <c r="E10" s="11" t="s">
        <v>193</v>
      </c>
      <c r="F10" s="4"/>
      <c r="G10" s="5" t="s">
        <v>59</v>
      </c>
      <c r="H10" s="4" t="s">
        <v>206</v>
      </c>
      <c r="I10" s="4" t="s">
        <v>207</v>
      </c>
      <c r="J10" s="6" t="s">
        <v>213</v>
      </c>
      <c r="K10" s="6" t="s">
        <v>163</v>
      </c>
      <c r="L10" s="6" t="s">
        <v>214</v>
      </c>
      <c r="M10" s="6" t="s">
        <v>33</v>
      </c>
      <c r="N10" s="6" t="s">
        <v>8</v>
      </c>
      <c r="O10" s="6"/>
      <c r="P10" s="6" t="s">
        <v>98</v>
      </c>
      <c r="Q10" s="6" t="s">
        <v>145</v>
      </c>
      <c r="R10" s="6"/>
      <c r="S10" s="4" t="s">
        <v>165</v>
      </c>
      <c r="T10" s="52"/>
      <c r="U10" s="6" t="s">
        <v>210</v>
      </c>
      <c r="V10" s="22"/>
      <c r="W10" s="7"/>
      <c r="X10" s="22"/>
      <c r="Y10" s="53"/>
      <c r="Z10" s="53"/>
      <c r="AA10" s="6"/>
      <c r="AB10" s="53">
        <v>45758</v>
      </c>
      <c r="AC10" s="6" t="s">
        <v>8</v>
      </c>
      <c r="AD10" s="6" t="s">
        <v>211</v>
      </c>
      <c r="AE10" s="6"/>
      <c r="AF10" s="72" t="s">
        <v>215</v>
      </c>
      <c r="AG10" s="71"/>
    </row>
    <row r="11" spans="1:33" s="10" customFormat="1" ht="14.25" customHeight="1" x14ac:dyDescent="0.3">
      <c r="A11" s="62" t="s">
        <v>216</v>
      </c>
      <c r="B11" s="55"/>
      <c r="C11" s="55"/>
      <c r="D11" s="55"/>
      <c r="E11" s="55"/>
      <c r="F11" s="55"/>
      <c r="G11" s="56" t="s">
        <v>59</v>
      </c>
      <c r="H11" s="55" t="s">
        <v>217</v>
      </c>
      <c r="I11" s="55" t="s">
        <v>218</v>
      </c>
      <c r="J11" s="57" t="s">
        <v>219</v>
      </c>
      <c r="K11" s="57" t="s">
        <v>163</v>
      </c>
      <c r="L11" s="57" t="s">
        <v>220</v>
      </c>
      <c r="M11" s="57"/>
      <c r="N11" s="57" t="s">
        <v>221</v>
      </c>
      <c r="O11" s="57"/>
      <c r="P11" s="57" t="s">
        <v>98</v>
      </c>
      <c r="Q11" s="57" t="s">
        <v>222</v>
      </c>
      <c r="R11" s="57"/>
      <c r="S11" s="55" t="s">
        <v>165</v>
      </c>
      <c r="T11" s="58"/>
      <c r="U11" s="57" t="s">
        <v>223</v>
      </c>
      <c r="V11" s="59"/>
      <c r="W11" s="60"/>
      <c r="X11" s="59"/>
      <c r="Y11" s="61"/>
      <c r="Z11" s="61"/>
      <c r="AA11" s="57"/>
      <c r="AB11" s="61">
        <v>45758</v>
      </c>
      <c r="AC11" s="57"/>
      <c r="AD11" s="57"/>
      <c r="AE11" s="57"/>
      <c r="AF11" s="72" t="s">
        <v>224</v>
      </c>
      <c r="AG11" s="71"/>
    </row>
    <row r="12" spans="1:33" s="10" customFormat="1" ht="14.25" customHeight="1" x14ac:dyDescent="0.3">
      <c r="A12" s="62" t="s">
        <v>216</v>
      </c>
      <c r="B12" s="55"/>
      <c r="C12" s="55"/>
      <c r="D12" s="55"/>
      <c r="E12" s="55"/>
      <c r="F12" s="55"/>
      <c r="G12" s="56" t="s">
        <v>59</v>
      </c>
      <c r="H12" s="55" t="s">
        <v>225</v>
      </c>
      <c r="I12" s="55" t="s">
        <v>226</v>
      </c>
      <c r="J12" s="57" t="s">
        <v>219</v>
      </c>
      <c r="K12" s="57" t="s">
        <v>163</v>
      </c>
      <c r="L12" s="57" t="s">
        <v>227</v>
      </c>
      <c r="M12" s="57"/>
      <c r="N12" s="57" t="s">
        <v>221</v>
      </c>
      <c r="O12" s="57"/>
      <c r="P12" s="57" t="s">
        <v>98</v>
      </c>
      <c r="Q12" s="57" t="s">
        <v>222</v>
      </c>
      <c r="R12" s="57"/>
      <c r="S12" s="55" t="s">
        <v>165</v>
      </c>
      <c r="T12" s="58"/>
      <c r="U12" s="57" t="s">
        <v>223</v>
      </c>
      <c r="V12" s="59"/>
      <c r="W12" s="60"/>
      <c r="X12" s="59"/>
      <c r="Y12" s="61"/>
      <c r="Z12" s="61"/>
      <c r="AA12" s="57"/>
      <c r="AB12" s="61">
        <v>45758</v>
      </c>
      <c r="AC12" s="57"/>
      <c r="AD12" s="57"/>
      <c r="AE12" s="57"/>
      <c r="AF12" s="72" t="s">
        <v>228</v>
      </c>
      <c r="AG12" s="71"/>
    </row>
    <row r="13" spans="1:33" s="10" customFormat="1" ht="14.25" customHeight="1" x14ac:dyDescent="0.3">
      <c r="A13" s="62" t="s">
        <v>229</v>
      </c>
      <c r="B13" s="55"/>
      <c r="C13" s="55"/>
      <c r="D13" s="55"/>
      <c r="E13" s="55"/>
      <c r="F13" s="55"/>
      <c r="G13" s="56" t="s">
        <v>63</v>
      </c>
      <c r="H13" s="55"/>
      <c r="I13" s="55" t="s">
        <v>230</v>
      </c>
      <c r="J13" s="57" t="s">
        <v>170</v>
      </c>
      <c r="K13" s="57" t="s">
        <v>171</v>
      </c>
      <c r="L13" s="57" t="s">
        <v>231</v>
      </c>
      <c r="M13" s="57" t="s">
        <v>33</v>
      </c>
      <c r="N13" s="57" t="s">
        <v>8</v>
      </c>
      <c r="O13" s="57"/>
      <c r="P13" s="57" t="s">
        <v>95</v>
      </c>
      <c r="Q13" s="57"/>
      <c r="R13" s="57"/>
      <c r="S13" s="55" t="s">
        <v>165</v>
      </c>
      <c r="T13" s="58"/>
      <c r="U13" s="57" t="s">
        <v>232</v>
      </c>
      <c r="V13" s="59"/>
      <c r="W13" s="60"/>
      <c r="X13" s="59"/>
      <c r="Y13" s="61"/>
      <c r="Z13" s="61"/>
      <c r="AA13" s="57"/>
      <c r="AB13" s="61">
        <v>45757</v>
      </c>
      <c r="AC13" s="57"/>
      <c r="AD13" s="57"/>
      <c r="AE13" s="57"/>
      <c r="AF13" s="72" t="s">
        <v>233</v>
      </c>
      <c r="AG13" s="71"/>
    </row>
    <row r="14" spans="1:33" s="10" customFormat="1" ht="14.25" customHeight="1" x14ac:dyDescent="0.3">
      <c r="A14" s="41" t="s">
        <v>234</v>
      </c>
      <c r="B14" s="4"/>
      <c r="C14" s="4"/>
      <c r="D14" s="4"/>
      <c r="E14" s="4"/>
      <c r="F14" s="4"/>
      <c r="G14" s="5" t="s">
        <v>63</v>
      </c>
      <c r="H14" s="4" t="s">
        <v>63</v>
      </c>
      <c r="I14" s="4" t="s">
        <v>235</v>
      </c>
      <c r="J14" s="6" t="s">
        <v>170</v>
      </c>
      <c r="K14" s="6" t="s">
        <v>171</v>
      </c>
      <c r="L14" s="6" t="s">
        <v>236</v>
      </c>
      <c r="M14" s="6" t="s">
        <v>33</v>
      </c>
      <c r="N14" s="6" t="s">
        <v>8</v>
      </c>
      <c r="O14" s="6"/>
      <c r="P14" s="6" t="s">
        <v>95</v>
      </c>
      <c r="Q14" s="6"/>
      <c r="R14" s="6"/>
      <c r="S14" s="4" t="s">
        <v>165</v>
      </c>
      <c r="T14" s="52"/>
      <c r="U14" s="6" t="s">
        <v>180</v>
      </c>
      <c r="V14" s="22"/>
      <c r="W14" s="7"/>
      <c r="X14" s="22"/>
      <c r="Y14" s="53"/>
      <c r="Z14" s="53"/>
      <c r="AA14" s="6"/>
      <c r="AB14" s="53">
        <v>45757</v>
      </c>
      <c r="AC14" s="6"/>
      <c r="AD14" s="6"/>
      <c r="AE14" s="6"/>
      <c r="AF14" s="64" t="s">
        <v>237</v>
      </c>
      <c r="AG14" s="71"/>
    </row>
    <row r="15" spans="1:33" s="10" customFormat="1" ht="14.25" customHeight="1" x14ac:dyDescent="0.3">
      <c r="A15" s="41" t="s">
        <v>238</v>
      </c>
      <c r="B15" s="4"/>
      <c r="C15" s="4"/>
      <c r="D15" s="4"/>
      <c r="E15" s="4"/>
      <c r="F15" s="4"/>
      <c r="G15" s="5" t="s">
        <v>63</v>
      </c>
      <c r="H15" s="4" t="s">
        <v>63</v>
      </c>
      <c r="I15" s="4" t="s">
        <v>239</v>
      </c>
      <c r="J15" s="6" t="s">
        <v>170</v>
      </c>
      <c r="K15" s="6" t="s">
        <v>171</v>
      </c>
      <c r="L15" s="6" t="s">
        <v>240</v>
      </c>
      <c r="M15" s="6" t="s">
        <v>33</v>
      </c>
      <c r="N15" s="6" t="s">
        <v>8</v>
      </c>
      <c r="O15" s="6"/>
      <c r="P15" s="6" t="s">
        <v>95</v>
      </c>
      <c r="Q15" s="6"/>
      <c r="R15" s="6"/>
      <c r="S15" s="4" t="s">
        <v>165</v>
      </c>
      <c r="T15" s="52"/>
      <c r="U15" s="6" t="s">
        <v>180</v>
      </c>
      <c r="V15" s="22"/>
      <c r="W15" s="7"/>
      <c r="X15" s="22"/>
      <c r="Y15" s="53"/>
      <c r="Z15" s="53"/>
      <c r="AA15" s="6"/>
      <c r="AB15" s="53">
        <v>45757</v>
      </c>
      <c r="AC15" s="6"/>
      <c r="AD15" s="6"/>
      <c r="AE15" s="6"/>
      <c r="AF15" s="64" t="s">
        <v>237</v>
      </c>
      <c r="AG15" s="71"/>
    </row>
    <row r="16" spans="1:33" s="10" customFormat="1" ht="14.25" customHeight="1" x14ac:dyDescent="0.3">
      <c r="A16" s="41" t="s">
        <v>241</v>
      </c>
      <c r="B16" s="4"/>
      <c r="C16" s="4"/>
      <c r="D16" s="4"/>
      <c r="E16" s="4"/>
      <c r="F16" s="4"/>
      <c r="G16" s="5" t="s">
        <v>63</v>
      </c>
      <c r="H16" s="4" t="s">
        <v>63</v>
      </c>
      <c r="I16" s="4" t="s">
        <v>242</v>
      </c>
      <c r="J16" s="6" t="s">
        <v>170</v>
      </c>
      <c r="K16" s="6" t="s">
        <v>171</v>
      </c>
      <c r="L16" s="6" t="s">
        <v>243</v>
      </c>
      <c r="M16" s="6" t="s">
        <v>33</v>
      </c>
      <c r="N16" s="6" t="s">
        <v>8</v>
      </c>
      <c r="O16" s="6"/>
      <c r="P16" s="6" t="s">
        <v>95</v>
      </c>
      <c r="Q16" s="6"/>
      <c r="R16" s="6"/>
      <c r="S16" s="4" t="s">
        <v>165</v>
      </c>
      <c r="T16" s="52"/>
      <c r="U16" s="6" t="s">
        <v>180</v>
      </c>
      <c r="V16" s="22"/>
      <c r="W16" s="7"/>
      <c r="X16" s="22"/>
      <c r="Y16" s="53"/>
      <c r="Z16" s="53"/>
      <c r="AA16" s="6"/>
      <c r="AB16" s="53">
        <v>45757</v>
      </c>
      <c r="AC16" s="6"/>
      <c r="AD16" s="6"/>
      <c r="AE16" s="6"/>
      <c r="AF16" s="64" t="s">
        <v>237</v>
      </c>
      <c r="AG16" s="71"/>
    </row>
    <row r="17" spans="1:33" s="10" customFormat="1" ht="14.25" customHeight="1" x14ac:dyDescent="0.3">
      <c r="A17" s="48" t="s">
        <v>244</v>
      </c>
      <c r="B17" s="4"/>
      <c r="C17" s="4"/>
      <c r="D17" s="4"/>
      <c r="E17" s="4"/>
      <c r="F17" s="4"/>
      <c r="G17" s="5" t="s">
        <v>59</v>
      </c>
      <c r="H17" s="4" t="s">
        <v>245</v>
      </c>
      <c r="I17" s="4" t="s">
        <v>246</v>
      </c>
      <c r="J17" s="6" t="s">
        <v>247</v>
      </c>
      <c r="K17" s="6" t="s">
        <v>163</v>
      </c>
      <c r="L17" s="6" t="s">
        <v>248</v>
      </c>
      <c r="M17" s="6" t="s">
        <v>33</v>
      </c>
      <c r="N17" s="6" t="s">
        <v>8</v>
      </c>
      <c r="O17" s="6"/>
      <c r="P17" s="6" t="s">
        <v>98</v>
      </c>
      <c r="Q17" s="6" t="s">
        <v>145</v>
      </c>
      <c r="R17" s="6"/>
      <c r="S17" s="4" t="s">
        <v>165</v>
      </c>
      <c r="T17" s="52"/>
      <c r="U17" s="6" t="s">
        <v>249</v>
      </c>
      <c r="V17" s="22"/>
      <c r="W17" s="7"/>
      <c r="X17" s="22"/>
      <c r="Y17" s="53"/>
      <c r="Z17" s="53"/>
      <c r="AA17" s="6"/>
      <c r="AB17" s="53">
        <v>45758</v>
      </c>
      <c r="AC17" s="6"/>
      <c r="AD17" s="6"/>
      <c r="AE17" s="6"/>
      <c r="AF17" s="64"/>
      <c r="AG17" s="71"/>
    </row>
    <row r="18" spans="1:33" s="10" customFormat="1" ht="14.25" customHeight="1" x14ac:dyDescent="0.3">
      <c r="A18" s="41" t="s">
        <v>250</v>
      </c>
      <c r="B18" s="4"/>
      <c r="C18" s="11" t="s">
        <v>193</v>
      </c>
      <c r="D18" s="11" t="s">
        <v>251</v>
      </c>
      <c r="E18" s="11" t="s">
        <v>252</v>
      </c>
      <c r="F18" s="4" t="s">
        <v>253</v>
      </c>
      <c r="G18" s="5" t="s">
        <v>59</v>
      </c>
      <c r="H18" s="4"/>
      <c r="I18" s="4" t="s">
        <v>254</v>
      </c>
      <c r="J18" s="6" t="s">
        <v>255</v>
      </c>
      <c r="K18" s="6" t="s">
        <v>256</v>
      </c>
      <c r="L18" s="6" t="s">
        <v>257</v>
      </c>
      <c r="M18" s="6" t="s">
        <v>33</v>
      </c>
      <c r="N18" s="6" t="s">
        <v>258</v>
      </c>
      <c r="O18" s="6"/>
      <c r="P18" s="6" t="s">
        <v>86</v>
      </c>
      <c r="Q18" s="6"/>
      <c r="R18" s="6"/>
      <c r="S18" s="4" t="s">
        <v>190</v>
      </c>
      <c r="T18" s="52"/>
      <c r="U18" s="6" t="s">
        <v>259</v>
      </c>
      <c r="V18" s="22"/>
      <c r="W18" s="7"/>
      <c r="X18" s="22"/>
      <c r="Y18" s="53"/>
      <c r="Z18" s="53"/>
      <c r="AA18" s="6"/>
      <c r="AB18" s="53">
        <v>45264</v>
      </c>
      <c r="AC18" s="6" t="s">
        <v>8</v>
      </c>
      <c r="AD18" s="6" t="s">
        <v>260</v>
      </c>
      <c r="AE18" s="6"/>
      <c r="AF18" s="64"/>
      <c r="AG18" s="71"/>
    </row>
    <row r="19" spans="1:33" s="10" customFormat="1" ht="14.25" customHeight="1" x14ac:dyDescent="0.3">
      <c r="A19" s="41" t="s">
        <v>250</v>
      </c>
      <c r="B19" s="4"/>
      <c r="C19" s="11" t="s">
        <v>193</v>
      </c>
      <c r="D19" s="11" t="s">
        <v>251</v>
      </c>
      <c r="E19" s="11" t="s">
        <v>252</v>
      </c>
      <c r="F19" s="4" t="s">
        <v>253</v>
      </c>
      <c r="G19" s="5" t="s">
        <v>59</v>
      </c>
      <c r="H19" s="4"/>
      <c r="I19" s="4" t="s">
        <v>261</v>
      </c>
      <c r="J19" s="6" t="s">
        <v>262</v>
      </c>
      <c r="K19" s="6" t="s">
        <v>263</v>
      </c>
      <c r="L19" s="6" t="s">
        <v>264</v>
      </c>
      <c r="M19" s="6" t="s">
        <v>33</v>
      </c>
      <c r="N19" s="6" t="s">
        <v>258</v>
      </c>
      <c r="O19" s="6"/>
      <c r="P19" s="6" t="s">
        <v>93</v>
      </c>
      <c r="Q19" s="6"/>
      <c r="R19" s="6"/>
      <c r="S19" s="4" t="s">
        <v>190</v>
      </c>
      <c r="T19" s="52"/>
      <c r="U19" s="6" t="s">
        <v>259</v>
      </c>
      <c r="V19" s="22"/>
      <c r="W19" s="7"/>
      <c r="X19" s="22"/>
      <c r="Y19" s="53"/>
      <c r="Z19" s="53"/>
      <c r="AA19" s="6"/>
      <c r="AB19" s="53">
        <v>45264</v>
      </c>
      <c r="AC19" s="6" t="s">
        <v>8</v>
      </c>
      <c r="AD19" s="6" t="s">
        <v>260</v>
      </c>
      <c r="AE19" s="6"/>
      <c r="AF19" s="64"/>
      <c r="AG19" s="71"/>
    </row>
    <row r="20" spans="1:33" s="10" customFormat="1" ht="14.25" customHeight="1" x14ac:dyDescent="0.3">
      <c r="A20" s="41" t="s">
        <v>265</v>
      </c>
      <c r="B20" s="4"/>
      <c r="C20" s="4"/>
      <c r="D20" s="4"/>
      <c r="E20" s="4"/>
      <c r="F20" s="4"/>
      <c r="G20" s="5" t="s">
        <v>54</v>
      </c>
      <c r="H20" s="4" t="s">
        <v>266</v>
      </c>
      <c r="I20" s="4" t="s">
        <v>267</v>
      </c>
      <c r="J20" s="6" t="s">
        <v>268</v>
      </c>
      <c r="K20" s="6" t="s">
        <v>163</v>
      </c>
      <c r="L20" s="6" t="s">
        <v>269</v>
      </c>
      <c r="M20" s="6" t="s">
        <v>33</v>
      </c>
      <c r="N20" s="6" t="s">
        <v>8</v>
      </c>
      <c r="O20" s="6"/>
      <c r="P20" s="6" t="s">
        <v>86</v>
      </c>
      <c r="Q20" s="6" t="s">
        <v>145</v>
      </c>
      <c r="R20" s="6"/>
      <c r="S20" s="4" t="s">
        <v>165</v>
      </c>
      <c r="T20" s="52"/>
      <c r="U20" s="6" t="s">
        <v>270</v>
      </c>
      <c r="V20" s="22"/>
      <c r="W20" s="7"/>
      <c r="X20" s="22"/>
      <c r="Y20" s="53"/>
      <c r="Z20" s="53"/>
      <c r="AA20" s="6"/>
      <c r="AB20" s="53">
        <v>45758</v>
      </c>
      <c r="AC20" s="6"/>
      <c r="AD20" s="6"/>
      <c r="AE20" s="6"/>
      <c r="AF20" s="72" t="s">
        <v>271</v>
      </c>
      <c r="AG20" s="71"/>
    </row>
    <row r="21" spans="1:33" s="10" customFormat="1" ht="14.25" customHeight="1" x14ac:dyDescent="0.3">
      <c r="A21" s="41" t="s">
        <v>272</v>
      </c>
      <c r="B21" s="4"/>
      <c r="C21" s="4"/>
      <c r="D21" s="4"/>
      <c r="E21" s="4"/>
      <c r="F21" s="4"/>
      <c r="G21" s="5" t="s">
        <v>54</v>
      </c>
      <c r="H21" s="4"/>
      <c r="I21" s="4" t="s">
        <v>273</v>
      </c>
      <c r="J21" s="6" t="s">
        <v>170</v>
      </c>
      <c r="K21" s="6" t="s">
        <v>274</v>
      </c>
      <c r="L21" s="6" t="s">
        <v>275</v>
      </c>
      <c r="M21" s="6" t="s">
        <v>33</v>
      </c>
      <c r="N21" s="6" t="s">
        <v>8</v>
      </c>
      <c r="O21" s="6"/>
      <c r="P21" s="6" t="s">
        <v>95</v>
      </c>
      <c r="Q21" s="6"/>
      <c r="R21" s="6"/>
      <c r="S21" s="4" t="s">
        <v>190</v>
      </c>
      <c r="T21" s="52"/>
      <c r="U21" s="6" t="s">
        <v>276</v>
      </c>
      <c r="V21" s="22"/>
      <c r="W21" s="7"/>
      <c r="X21" s="22"/>
      <c r="Y21" s="53"/>
      <c r="Z21" s="53"/>
      <c r="AA21" s="6"/>
      <c r="AB21" s="53">
        <v>45252</v>
      </c>
      <c r="AC21" s="6"/>
      <c r="AD21" s="6"/>
      <c r="AE21" s="6"/>
      <c r="AF21" s="64"/>
      <c r="AG21" s="71"/>
    </row>
    <row r="22" spans="1:33" s="10" customFormat="1" ht="14.25" customHeight="1" x14ac:dyDescent="0.3">
      <c r="A22" s="41" t="s">
        <v>277</v>
      </c>
      <c r="B22" s="4"/>
      <c r="C22" s="4"/>
      <c r="D22" s="4"/>
      <c r="E22" s="4"/>
      <c r="F22" s="4"/>
      <c r="G22" s="5" t="s">
        <v>54</v>
      </c>
      <c r="H22" s="4" t="s">
        <v>278</v>
      </c>
      <c r="I22" s="4" t="s">
        <v>279</v>
      </c>
      <c r="J22" s="6" t="s">
        <v>280</v>
      </c>
      <c r="K22" s="6" t="s">
        <v>163</v>
      </c>
      <c r="L22" s="6" t="s">
        <v>281</v>
      </c>
      <c r="M22" s="6" t="s">
        <v>33</v>
      </c>
      <c r="N22" s="6" t="s">
        <v>8</v>
      </c>
      <c r="O22" s="6"/>
      <c r="P22" s="6" t="s">
        <v>102</v>
      </c>
      <c r="Q22" s="6" t="s">
        <v>282</v>
      </c>
      <c r="R22" s="6"/>
      <c r="S22" s="4" t="s">
        <v>165</v>
      </c>
      <c r="T22" s="52">
        <v>45769</v>
      </c>
      <c r="U22" s="6" t="s">
        <v>283</v>
      </c>
      <c r="V22" s="22"/>
      <c r="W22" s="7"/>
      <c r="X22" s="22"/>
      <c r="Y22" s="53"/>
      <c r="Z22" s="53"/>
      <c r="AA22" s="6"/>
      <c r="AB22" s="53">
        <v>45769</v>
      </c>
      <c r="AC22" s="6"/>
      <c r="AD22" s="6"/>
      <c r="AE22" s="6"/>
      <c r="AF22" s="64" t="s">
        <v>284</v>
      </c>
      <c r="AG22" s="71"/>
    </row>
    <row r="23" spans="1:33" s="10" customFormat="1" ht="14.25" customHeight="1" x14ac:dyDescent="0.3">
      <c r="A23" s="41" t="s">
        <v>285</v>
      </c>
      <c r="B23" s="4"/>
      <c r="C23" s="4"/>
      <c r="D23" s="4"/>
      <c r="E23" s="4"/>
      <c r="F23" s="4"/>
      <c r="G23" s="5" t="s">
        <v>54</v>
      </c>
      <c r="H23" s="4" t="s">
        <v>286</v>
      </c>
      <c r="I23" s="4" t="s">
        <v>287</v>
      </c>
      <c r="J23" s="6" t="s">
        <v>288</v>
      </c>
      <c r="K23" s="6" t="s">
        <v>289</v>
      </c>
      <c r="L23" s="6" t="s">
        <v>290</v>
      </c>
      <c r="M23" s="6" t="s">
        <v>33</v>
      </c>
      <c r="N23" s="6" t="s">
        <v>8</v>
      </c>
      <c r="O23" s="6"/>
      <c r="P23" s="6" t="s">
        <v>98</v>
      </c>
      <c r="Q23" s="6"/>
      <c r="R23" s="6"/>
      <c r="S23" s="4" t="s">
        <v>190</v>
      </c>
      <c r="T23" s="52"/>
      <c r="U23" s="6" t="s">
        <v>291</v>
      </c>
      <c r="V23" s="22"/>
      <c r="W23" s="7"/>
      <c r="X23" s="22"/>
      <c r="Y23" s="53"/>
      <c r="Z23" s="53"/>
      <c r="AA23" s="6"/>
      <c r="AB23" s="53">
        <v>45517</v>
      </c>
      <c r="AC23" s="6"/>
      <c r="AD23" s="6"/>
      <c r="AE23" s="6"/>
      <c r="AF23" s="64" t="s">
        <v>292</v>
      </c>
      <c r="AG23" s="71"/>
    </row>
    <row r="24" spans="1:33" s="10" customFormat="1" ht="14.25" customHeight="1" x14ac:dyDescent="0.3">
      <c r="A24" s="41" t="s">
        <v>293</v>
      </c>
      <c r="B24" s="4"/>
      <c r="C24" s="4"/>
      <c r="D24" s="4"/>
      <c r="E24" s="4"/>
      <c r="F24" s="4"/>
      <c r="G24" s="5" t="s">
        <v>54</v>
      </c>
      <c r="H24" s="4" t="s">
        <v>294</v>
      </c>
      <c r="I24" s="4" t="s">
        <v>295</v>
      </c>
      <c r="J24" s="6" t="s">
        <v>296</v>
      </c>
      <c r="K24" s="6" t="s">
        <v>297</v>
      </c>
      <c r="L24" s="6" t="s">
        <v>298</v>
      </c>
      <c r="M24" s="6" t="s">
        <v>33</v>
      </c>
      <c r="N24" s="6" t="s">
        <v>8</v>
      </c>
      <c r="O24" s="6"/>
      <c r="P24" s="6" t="s">
        <v>100</v>
      </c>
      <c r="Q24" s="6"/>
      <c r="R24" s="6"/>
      <c r="S24" s="4" t="s">
        <v>190</v>
      </c>
      <c r="T24" s="52"/>
      <c r="U24" s="6" t="s">
        <v>299</v>
      </c>
      <c r="V24" s="22"/>
      <c r="W24" s="7"/>
      <c r="X24" s="22"/>
      <c r="Y24" s="53"/>
      <c r="Z24" s="53"/>
      <c r="AA24" s="6"/>
      <c r="AB24" s="53">
        <v>45412</v>
      </c>
      <c r="AC24" s="6"/>
      <c r="AD24" s="6"/>
      <c r="AE24" s="6"/>
      <c r="AF24" s="72" t="s">
        <v>233</v>
      </c>
      <c r="AG24" s="71"/>
    </row>
    <row r="25" spans="1:33" s="10" customFormat="1" ht="14.25" customHeight="1" x14ac:dyDescent="0.3">
      <c r="A25" s="41" t="s">
        <v>300</v>
      </c>
      <c r="B25" s="4"/>
      <c r="C25" s="4"/>
      <c r="D25" s="4"/>
      <c r="E25" s="4"/>
      <c r="F25" s="4"/>
      <c r="G25" s="5" t="s">
        <v>54</v>
      </c>
      <c r="H25" s="4" t="s">
        <v>301</v>
      </c>
      <c r="I25" s="4" t="s">
        <v>302</v>
      </c>
      <c r="J25" s="6" t="s">
        <v>303</v>
      </c>
      <c r="K25" s="6" t="s">
        <v>304</v>
      </c>
      <c r="L25" s="6" t="s">
        <v>305</v>
      </c>
      <c r="M25" s="6" t="s">
        <v>33</v>
      </c>
      <c r="N25" s="6" t="s">
        <v>8</v>
      </c>
      <c r="O25" s="6"/>
      <c r="P25" s="6" t="s">
        <v>96</v>
      </c>
      <c r="Q25" s="6"/>
      <c r="R25" s="6"/>
      <c r="S25" s="4" t="s">
        <v>306</v>
      </c>
      <c r="T25" s="52"/>
      <c r="U25" s="6" t="s">
        <v>307</v>
      </c>
      <c r="V25" s="22"/>
      <c r="W25" s="7"/>
      <c r="X25" s="22"/>
      <c r="Y25" s="53"/>
      <c r="Z25" s="53"/>
      <c r="AA25" s="6"/>
      <c r="AB25" s="53">
        <v>45768</v>
      </c>
      <c r="AC25" s="6"/>
      <c r="AD25" s="6"/>
      <c r="AE25" s="6"/>
      <c r="AF25" s="64" t="s">
        <v>308</v>
      </c>
      <c r="AG25" s="71"/>
    </row>
    <row r="26" spans="1:33" s="10" customFormat="1" ht="14.25" customHeight="1" x14ac:dyDescent="0.3">
      <c r="A26" s="48" t="s">
        <v>309</v>
      </c>
      <c r="B26" s="4"/>
      <c r="C26" s="4"/>
      <c r="D26" s="4"/>
      <c r="E26" s="4"/>
      <c r="F26" s="4"/>
      <c r="G26" s="5" t="s">
        <v>59</v>
      </c>
      <c r="H26" s="4" t="s">
        <v>310</v>
      </c>
      <c r="I26" s="4" t="s">
        <v>311</v>
      </c>
      <c r="J26" s="6" t="s">
        <v>312</v>
      </c>
      <c r="K26" s="6" t="s">
        <v>163</v>
      </c>
      <c r="L26" s="6" t="s">
        <v>313</v>
      </c>
      <c r="M26" s="6" t="s">
        <v>33</v>
      </c>
      <c r="N26" s="6" t="s">
        <v>8</v>
      </c>
      <c r="O26" s="6"/>
      <c r="P26" s="6" t="s">
        <v>98</v>
      </c>
      <c r="Q26" s="6" t="s">
        <v>145</v>
      </c>
      <c r="R26" s="6"/>
      <c r="S26" s="4" t="s">
        <v>165</v>
      </c>
      <c r="T26" s="52"/>
      <c r="U26" s="6" t="s">
        <v>314</v>
      </c>
      <c r="V26" s="22"/>
      <c r="W26" s="7"/>
      <c r="X26" s="22"/>
      <c r="Y26" s="53"/>
      <c r="Z26" s="53"/>
      <c r="AA26" s="6"/>
      <c r="AB26" s="53">
        <v>45758</v>
      </c>
      <c r="AC26" s="6"/>
      <c r="AD26" s="6"/>
      <c r="AE26" s="6"/>
      <c r="AF26" s="72" t="s">
        <v>315</v>
      </c>
      <c r="AG26" s="71"/>
    </row>
    <row r="27" spans="1:33" s="10" customFormat="1" ht="14.25" customHeight="1" x14ac:dyDescent="0.3">
      <c r="A27" s="48" t="s">
        <v>309</v>
      </c>
      <c r="B27" s="4"/>
      <c r="C27" s="4"/>
      <c r="D27" s="4"/>
      <c r="E27" s="4"/>
      <c r="F27" s="4"/>
      <c r="G27" s="5" t="s">
        <v>59</v>
      </c>
      <c r="H27" s="4" t="s">
        <v>310</v>
      </c>
      <c r="I27" s="4" t="s">
        <v>311</v>
      </c>
      <c r="J27" s="6" t="s">
        <v>312</v>
      </c>
      <c r="K27" s="6" t="s">
        <v>163</v>
      </c>
      <c r="L27" s="6" t="s">
        <v>316</v>
      </c>
      <c r="M27" s="6" t="s">
        <v>33</v>
      </c>
      <c r="N27" s="6" t="s">
        <v>8</v>
      </c>
      <c r="O27" s="6"/>
      <c r="P27" s="6" t="s">
        <v>98</v>
      </c>
      <c r="Q27" s="6" t="s">
        <v>145</v>
      </c>
      <c r="R27" s="6"/>
      <c r="S27" s="4" t="s">
        <v>165</v>
      </c>
      <c r="T27" s="52"/>
      <c r="U27" s="6" t="s">
        <v>314</v>
      </c>
      <c r="V27" s="22"/>
      <c r="W27" s="7"/>
      <c r="X27" s="22"/>
      <c r="Y27" s="53"/>
      <c r="Z27" s="53"/>
      <c r="AA27" s="6"/>
      <c r="AB27" s="53">
        <v>45758</v>
      </c>
      <c r="AC27" s="6"/>
      <c r="AD27" s="6"/>
      <c r="AE27" s="6"/>
      <c r="AF27" s="72" t="s">
        <v>317</v>
      </c>
      <c r="AG27" s="71"/>
    </row>
    <row r="28" spans="1:33" s="10" customFormat="1" ht="14.25" customHeight="1" x14ac:dyDescent="0.3">
      <c r="A28" s="62" t="s">
        <v>318</v>
      </c>
      <c r="B28" s="55"/>
      <c r="C28" s="55"/>
      <c r="D28" s="55"/>
      <c r="E28" s="55"/>
      <c r="F28" s="55"/>
      <c r="G28" s="56" t="s">
        <v>183</v>
      </c>
      <c r="H28" s="55"/>
      <c r="I28" s="55" t="s">
        <v>185</v>
      </c>
      <c r="J28" s="57" t="s">
        <v>186</v>
      </c>
      <c r="K28" s="57" t="s">
        <v>187</v>
      </c>
      <c r="L28" s="57" t="s">
        <v>319</v>
      </c>
      <c r="M28" s="57"/>
      <c r="N28" s="57" t="s">
        <v>189</v>
      </c>
      <c r="O28" s="57"/>
      <c r="P28" s="57" t="s">
        <v>89</v>
      </c>
      <c r="Q28" s="57"/>
      <c r="R28" s="57"/>
      <c r="S28" s="55"/>
      <c r="T28" s="58"/>
      <c r="U28" s="57" t="s">
        <v>199</v>
      </c>
      <c r="V28" s="59"/>
      <c r="W28" s="60"/>
      <c r="X28" s="59"/>
      <c r="Y28" s="61"/>
      <c r="Z28" s="61"/>
      <c r="AA28" s="57"/>
      <c r="AB28" s="61">
        <v>45754</v>
      </c>
      <c r="AC28" s="57"/>
      <c r="AD28" s="57"/>
      <c r="AE28" s="57"/>
      <c r="AF28" s="64" t="s">
        <v>192</v>
      </c>
      <c r="AG28" s="71"/>
    </row>
    <row r="29" spans="1:33" s="10" customFormat="1" ht="14.25" customHeight="1" x14ac:dyDescent="0.3">
      <c r="A29" s="62" t="s">
        <v>320</v>
      </c>
      <c r="B29" s="55"/>
      <c r="C29" s="55"/>
      <c r="D29" s="55"/>
      <c r="E29" s="55"/>
      <c r="F29" s="55"/>
      <c r="G29" s="56" t="s">
        <v>54</v>
      </c>
      <c r="H29" s="55"/>
      <c r="I29" s="55" t="s">
        <v>169</v>
      </c>
      <c r="J29" s="57" t="s">
        <v>321</v>
      </c>
      <c r="K29" s="57" t="s">
        <v>171</v>
      </c>
      <c r="L29" s="57" t="s">
        <v>322</v>
      </c>
      <c r="M29" s="57" t="s">
        <v>33</v>
      </c>
      <c r="N29" s="57" t="s">
        <v>8</v>
      </c>
      <c r="O29" s="57"/>
      <c r="P29" s="57" t="s">
        <v>96</v>
      </c>
      <c r="Q29" s="57"/>
      <c r="R29" s="57"/>
      <c r="S29" s="55" t="s">
        <v>165</v>
      </c>
      <c r="T29" s="58"/>
      <c r="U29" s="57" t="s">
        <v>173</v>
      </c>
      <c r="V29" s="59"/>
      <c r="W29" s="60"/>
      <c r="X29" s="59"/>
      <c r="Y29" s="61"/>
      <c r="Z29" s="61"/>
      <c r="AA29" s="57"/>
      <c r="AB29" s="61">
        <v>45769</v>
      </c>
      <c r="AC29" s="57"/>
      <c r="AD29" s="57"/>
      <c r="AE29" s="57"/>
      <c r="AF29" s="64" t="s">
        <v>323</v>
      </c>
      <c r="AG29" s="71"/>
    </row>
    <row r="30" spans="1:33" s="10" customFormat="1" ht="14.25" customHeight="1" x14ac:dyDescent="0.3">
      <c r="A30" s="63" t="s">
        <v>324</v>
      </c>
      <c r="B30" s="64"/>
      <c r="C30" s="64"/>
      <c r="D30" s="64"/>
      <c r="E30" s="64"/>
      <c r="F30" s="64"/>
      <c r="G30" s="65" t="s">
        <v>183</v>
      </c>
      <c r="H30" s="64"/>
      <c r="I30" s="64" t="s">
        <v>185</v>
      </c>
      <c r="J30" s="66" t="s">
        <v>186</v>
      </c>
      <c r="K30" s="66" t="s">
        <v>187</v>
      </c>
      <c r="L30" s="66" t="s">
        <v>325</v>
      </c>
      <c r="M30" s="66" t="s">
        <v>33</v>
      </c>
      <c r="N30" s="66" t="s">
        <v>189</v>
      </c>
      <c r="O30" s="66"/>
      <c r="P30" s="66" t="s">
        <v>89</v>
      </c>
      <c r="Q30" s="66"/>
      <c r="R30" s="66"/>
      <c r="S30" s="64" t="s">
        <v>190</v>
      </c>
      <c r="T30" s="67"/>
      <c r="U30" s="66" t="s">
        <v>199</v>
      </c>
      <c r="V30" s="68"/>
      <c r="W30" s="69"/>
      <c r="X30" s="68"/>
      <c r="Y30" s="70"/>
      <c r="Z30" s="70"/>
      <c r="AA30" s="66"/>
      <c r="AB30" s="70">
        <v>45754</v>
      </c>
      <c r="AC30" s="66"/>
      <c r="AD30" s="66"/>
      <c r="AE30" s="66"/>
      <c r="AF30" s="64"/>
      <c r="AG30" s="71"/>
    </row>
    <row r="31" spans="1:33" s="10" customFormat="1" ht="14.25" customHeight="1" x14ac:dyDescent="0.3">
      <c r="A31" s="63" t="s">
        <v>326</v>
      </c>
      <c r="B31" s="64"/>
      <c r="C31" s="64"/>
      <c r="D31" s="64"/>
      <c r="E31" s="64"/>
      <c r="F31" s="64"/>
      <c r="G31" s="65" t="s">
        <v>54</v>
      </c>
      <c r="H31" s="64"/>
      <c r="I31" s="64" t="s">
        <v>169</v>
      </c>
      <c r="J31" s="66" t="s">
        <v>321</v>
      </c>
      <c r="K31" s="66" t="s">
        <v>171</v>
      </c>
      <c r="L31" s="66" t="s">
        <v>327</v>
      </c>
      <c r="M31" s="66" t="s">
        <v>33</v>
      </c>
      <c r="N31" s="66" t="s">
        <v>8</v>
      </c>
      <c r="O31" s="66"/>
      <c r="P31" s="66" t="s">
        <v>96</v>
      </c>
      <c r="Q31" s="66"/>
      <c r="R31" s="66"/>
      <c r="S31" s="64" t="s">
        <v>165</v>
      </c>
      <c r="T31" s="67"/>
      <c r="U31" s="66" t="s">
        <v>173</v>
      </c>
      <c r="V31" s="68"/>
      <c r="W31" s="69"/>
      <c r="X31" s="68"/>
      <c r="Y31" s="70"/>
      <c r="Z31" s="70"/>
      <c r="AA31" s="66"/>
      <c r="AB31" s="70">
        <v>45757</v>
      </c>
      <c r="AC31" s="66"/>
      <c r="AD31" s="66"/>
      <c r="AE31" s="66"/>
      <c r="AF31" s="64"/>
      <c r="AG31" s="71"/>
    </row>
    <row r="32" spans="1:33" s="10" customFormat="1" ht="14.25" customHeight="1" x14ac:dyDescent="0.3">
      <c r="A32" s="41"/>
      <c r="B32" s="4"/>
      <c r="C32" s="4"/>
      <c r="D32" s="4"/>
      <c r="E32" s="4"/>
      <c r="F32" s="4"/>
      <c r="G32" s="5"/>
      <c r="H32" s="4"/>
      <c r="I32" s="4"/>
      <c r="J32" s="6"/>
      <c r="K32" s="6"/>
      <c r="L32" s="6"/>
      <c r="M32" s="6"/>
      <c r="N32" s="6"/>
      <c r="O32" s="6"/>
      <c r="P32" s="6"/>
      <c r="Q32" s="6"/>
      <c r="R32" s="6"/>
      <c r="S32" s="4"/>
      <c r="T32" s="52"/>
      <c r="U32" s="6"/>
      <c r="V32" s="22"/>
      <c r="W32" s="7"/>
      <c r="X32" s="22"/>
      <c r="Y32" s="53"/>
      <c r="Z32" s="53"/>
      <c r="AA32" s="6"/>
      <c r="AB32" s="53"/>
      <c r="AC32" s="6"/>
      <c r="AD32" s="6"/>
      <c r="AE32" s="6"/>
      <c r="AF32" s="64"/>
      <c r="AG32" s="71"/>
    </row>
    <row r="33" spans="1:33" s="10" customFormat="1" ht="14.25" customHeight="1" x14ac:dyDescent="0.3">
      <c r="A33" s="41"/>
      <c r="B33" s="4"/>
      <c r="C33" s="4"/>
      <c r="D33" s="4"/>
      <c r="E33" s="4"/>
      <c r="F33" s="4"/>
      <c r="G33" s="5"/>
      <c r="H33" s="4"/>
      <c r="I33" s="4"/>
      <c r="J33" s="6"/>
      <c r="K33" s="6"/>
      <c r="L33" s="6"/>
      <c r="M33" s="6"/>
      <c r="N33" s="6"/>
      <c r="O33" s="6"/>
      <c r="P33" s="6"/>
      <c r="Q33" s="6"/>
      <c r="R33" s="6"/>
      <c r="S33" s="4"/>
      <c r="T33" s="3"/>
      <c r="U33" s="6"/>
      <c r="V33" s="22"/>
      <c r="W33" s="7"/>
      <c r="X33" s="22"/>
      <c r="Y33" s="22"/>
      <c r="Z33" s="22"/>
      <c r="AA33" s="6"/>
      <c r="AB33" s="22"/>
      <c r="AC33" s="6"/>
      <c r="AD33" s="6"/>
      <c r="AE33" s="6"/>
      <c r="AF33" s="4"/>
      <c r="AG33" s="47"/>
    </row>
    <row r="34" spans="1:33" s="10" customFormat="1" ht="14.25" customHeight="1" x14ac:dyDescent="0.3">
      <c r="A34" s="50">
        <f>SUBTOTAL(103,A2:A33)</f>
        <v>30</v>
      </c>
      <c r="B34" s="12"/>
      <c r="C34" s="17"/>
      <c r="D34" s="17"/>
      <c r="E34" s="17"/>
      <c r="F34" s="17"/>
      <c r="G34" s="17">
        <f>TableDocList[[#Totals],[Status]]/TableDocList[[#Totals],[Id]]</f>
        <v>1</v>
      </c>
      <c r="H34" s="17"/>
      <c r="I34" s="17"/>
      <c r="J34" s="18"/>
      <c r="K34" s="18"/>
      <c r="L34" s="18"/>
      <c r="M34" s="18"/>
      <c r="N34" s="18"/>
      <c r="O34" s="18" t="s">
        <v>40</v>
      </c>
      <c r="P34" s="18">
        <f>SUBTOTAL(103,TableDocList[Status])</f>
        <v>30</v>
      </c>
      <c r="Q34" s="18"/>
      <c r="R34" s="18"/>
      <c r="S34" s="18"/>
      <c r="T34" s="19"/>
      <c r="U34" s="18"/>
      <c r="V34" s="18"/>
      <c r="W34" s="18">
        <f>COUNTA(TableDocList[Next reviewer])-COUNTIF(TableDocList[Next reviewer],"N/A")</f>
        <v>0</v>
      </c>
      <c r="X34" s="18">
        <f>COUNTIFS(TableDocList[Status],"Final",TableDocList[Ticket or deadline],"") / TableDocList[[#Totals],[Status]]</f>
        <v>0</v>
      </c>
      <c r="Y34" s="19">
        <f>SUBTOTAL(103,TableDocList[last CC])</f>
        <v>1</v>
      </c>
      <c r="Z34" s="19">
        <f ca="1">TableDocList[[#Totals],[Month to next revison]]/TableDocList[[#Totals],[Confirm date]]</f>
        <v>0</v>
      </c>
      <c r="AA34" s="18">
        <f ca="1">COUNTIF(TableDocList[Month to next revison],"OK")</f>
        <v>0</v>
      </c>
      <c r="AB34" s="19"/>
      <c r="AC34" s="18">
        <f>SUBTOTAL(103,TableDocList[By])</f>
        <v>5</v>
      </c>
      <c r="AD34" s="18">
        <f>SUBTOTAL(103,TableDocList[Comments])</f>
        <v>5</v>
      </c>
      <c r="AE34" s="18"/>
      <c r="AF34" s="12">
        <f>SUBTOTAL(103,TableDocList[Error])</f>
        <v>22</v>
      </c>
      <c r="AG34" s="46"/>
    </row>
    <row r="35" spans="1:33" s="10" customFormat="1" ht="14.25" customHeight="1" x14ac:dyDescent="0.3">
      <c r="A35" s="41"/>
      <c r="B35" s="4"/>
      <c r="C35" s="4"/>
      <c r="D35" s="4"/>
      <c r="E35" s="4"/>
      <c r="F35" s="4"/>
      <c r="G35" s="4"/>
      <c r="H35" s="4"/>
      <c r="I35" s="4"/>
      <c r="J35" s="4"/>
      <c r="K35" s="4"/>
      <c r="L35" s="4"/>
      <c r="M35" s="4"/>
      <c r="N35" s="4"/>
      <c r="O35" s="4"/>
      <c r="P35" s="4"/>
      <c r="Q35" s="4"/>
      <c r="R35" s="4"/>
      <c r="S35" s="4"/>
      <c r="T35" s="20"/>
      <c r="U35" s="4"/>
      <c r="V35" s="4"/>
      <c r="W35" s="4"/>
      <c r="X35" s="11"/>
      <c r="Y35" s="20"/>
      <c r="Z35" s="20"/>
      <c r="AA35" s="4"/>
      <c r="AB35" s="20"/>
      <c r="AC35" s="4"/>
      <c r="AD35" s="4"/>
      <c r="AE35" s="4"/>
    </row>
    <row r="36" spans="1:33" s="10" customFormat="1" ht="14.25" customHeight="1" x14ac:dyDescent="0.3">
      <c r="A36" s="41"/>
      <c r="B36" s="4"/>
      <c r="C36" s="4"/>
      <c r="D36" s="4"/>
      <c r="E36" s="4"/>
      <c r="F36" s="4"/>
      <c r="G36" s="4"/>
      <c r="H36" s="4"/>
      <c r="I36" s="4"/>
      <c r="J36" s="4"/>
      <c r="K36" s="4"/>
      <c r="L36" s="4"/>
      <c r="M36" s="4"/>
      <c r="N36" s="4"/>
      <c r="O36" s="4"/>
      <c r="P36" s="4"/>
      <c r="Q36" s="4"/>
      <c r="R36" s="4"/>
      <c r="S36" s="4"/>
      <c r="T36" s="20"/>
      <c r="U36" s="4"/>
      <c r="V36" s="4"/>
      <c r="W36" s="4"/>
      <c r="X36" s="11"/>
      <c r="Y36" s="20"/>
      <c r="Z36" s="20"/>
      <c r="AA36" s="4"/>
      <c r="AB36" s="20"/>
      <c r="AC36" s="4"/>
      <c r="AD36" s="4"/>
      <c r="AE36" s="4"/>
    </row>
    <row r="37" spans="1:33" s="10" customFormat="1" ht="14.25" customHeight="1" x14ac:dyDescent="0.3">
      <c r="A37" s="41"/>
      <c r="B37" s="4"/>
      <c r="C37" s="4"/>
      <c r="D37" s="4"/>
      <c r="E37" s="4"/>
      <c r="F37" s="4"/>
      <c r="G37" s="4"/>
      <c r="H37" s="4"/>
      <c r="I37" s="4"/>
      <c r="J37" s="4"/>
      <c r="K37" s="4"/>
      <c r="L37" s="4"/>
      <c r="M37" s="4"/>
      <c r="N37" s="4"/>
      <c r="O37" s="4"/>
      <c r="P37" s="4"/>
      <c r="Q37" s="4"/>
      <c r="R37" s="4"/>
      <c r="S37" s="4"/>
      <c r="T37" s="20"/>
      <c r="U37" s="4"/>
      <c r="V37" s="4"/>
      <c r="W37" s="4"/>
      <c r="X37" s="11"/>
      <c r="Y37" s="20"/>
      <c r="Z37" s="20"/>
      <c r="AA37" s="4"/>
      <c r="AB37" s="20"/>
      <c r="AC37" s="4"/>
      <c r="AD37" s="4"/>
      <c r="AE37" s="4"/>
    </row>
    <row r="38" spans="1:33" s="10" customFormat="1" ht="14.25" customHeight="1" x14ac:dyDescent="0.3">
      <c r="A38" s="41"/>
      <c r="B38" s="4"/>
      <c r="C38" s="4"/>
      <c r="D38" s="4"/>
      <c r="E38" s="4"/>
      <c r="F38" s="4"/>
      <c r="G38" s="4"/>
      <c r="H38" s="4"/>
      <c r="I38" s="4"/>
      <c r="J38" s="4"/>
      <c r="K38" s="4"/>
      <c r="L38" s="4"/>
      <c r="M38" s="4"/>
      <c r="N38" s="4"/>
      <c r="O38" s="4"/>
      <c r="P38" s="4"/>
      <c r="Q38" s="4"/>
      <c r="R38" s="4"/>
      <c r="S38" s="4"/>
      <c r="T38" s="20"/>
      <c r="U38" s="4"/>
      <c r="V38" s="4"/>
      <c r="W38" s="4"/>
      <c r="X38" s="11"/>
      <c r="Y38" s="20"/>
      <c r="Z38" s="20"/>
      <c r="AA38" s="4"/>
      <c r="AB38" s="20"/>
      <c r="AC38" s="4"/>
      <c r="AD38" s="4"/>
      <c r="AE38" s="4"/>
    </row>
    <row r="39" spans="1:33" s="10" customFormat="1" ht="14.25" customHeight="1" x14ac:dyDescent="0.3">
      <c r="A39" s="41"/>
      <c r="B39" s="4"/>
      <c r="C39" s="4"/>
      <c r="D39" s="4"/>
      <c r="E39" s="4"/>
      <c r="F39" s="4"/>
      <c r="G39" s="4"/>
      <c r="H39" s="4"/>
      <c r="I39" s="4"/>
      <c r="J39" s="4"/>
      <c r="K39" s="4"/>
      <c r="L39" s="4"/>
      <c r="M39" s="4"/>
      <c r="N39" s="4"/>
      <c r="O39" s="4"/>
      <c r="P39" s="4"/>
      <c r="Q39" s="4"/>
      <c r="R39" s="4"/>
      <c r="S39" s="4"/>
      <c r="T39" s="20"/>
      <c r="U39" s="4"/>
      <c r="V39" s="4"/>
      <c r="W39" s="4"/>
      <c r="X39" s="11"/>
      <c r="Y39" s="20"/>
      <c r="Z39" s="20"/>
      <c r="AA39" s="4"/>
      <c r="AB39" s="20"/>
      <c r="AC39" s="4"/>
      <c r="AD39" s="4"/>
      <c r="AE39" s="4"/>
    </row>
    <row r="40" spans="1:33" s="10" customFormat="1" ht="14.25" customHeight="1" x14ac:dyDescent="0.3">
      <c r="A40" s="41"/>
      <c r="B40" s="4"/>
      <c r="C40" s="4"/>
      <c r="D40" s="4"/>
      <c r="E40" s="4"/>
      <c r="F40" s="4"/>
      <c r="G40" s="4"/>
      <c r="H40" s="4"/>
      <c r="I40" s="4"/>
      <c r="J40" s="4"/>
      <c r="K40" s="4"/>
      <c r="L40" s="4"/>
      <c r="M40" s="4"/>
      <c r="N40" s="4"/>
      <c r="O40" s="4"/>
      <c r="P40" s="4"/>
      <c r="Q40" s="4"/>
      <c r="R40" s="4"/>
      <c r="S40" s="4"/>
      <c r="T40" s="20"/>
      <c r="U40" s="4"/>
      <c r="V40" s="4"/>
      <c r="W40" s="4"/>
      <c r="X40" s="11"/>
      <c r="Y40" s="20"/>
      <c r="Z40" s="20"/>
      <c r="AA40" s="4"/>
      <c r="AB40" s="20"/>
      <c r="AC40" s="4"/>
      <c r="AD40" s="4"/>
      <c r="AE40" s="4"/>
    </row>
    <row r="41" spans="1:33" s="10" customFormat="1" ht="14.25" customHeight="1" x14ac:dyDescent="0.3">
      <c r="A41" s="41"/>
      <c r="B41" s="4"/>
      <c r="C41" s="4"/>
      <c r="D41" s="4"/>
      <c r="E41" s="4"/>
      <c r="F41" s="4"/>
      <c r="G41" s="4"/>
      <c r="H41" s="4" t="s">
        <v>41</v>
      </c>
      <c r="I41" s="4"/>
      <c r="J41" s="4"/>
      <c r="K41" s="4"/>
      <c r="L41" s="4"/>
      <c r="M41" s="4"/>
      <c r="N41" s="4"/>
      <c r="O41" s="4"/>
      <c r="P41" s="4"/>
      <c r="Q41" s="4"/>
      <c r="R41" s="4"/>
      <c r="S41" s="4"/>
      <c r="T41" s="20"/>
      <c r="U41" s="4"/>
      <c r="V41" s="4"/>
      <c r="W41" s="4"/>
      <c r="X41" s="11"/>
      <c r="Y41" s="20"/>
      <c r="Z41" s="20"/>
      <c r="AA41" s="4"/>
      <c r="AB41" s="20"/>
      <c r="AC41" s="4"/>
      <c r="AD41" s="4"/>
      <c r="AE41" s="4"/>
    </row>
    <row r="42" spans="1:33" s="10" customFormat="1" ht="14.25" customHeight="1" x14ac:dyDescent="0.3">
      <c r="A42" s="41"/>
      <c r="B42" s="4"/>
      <c r="C42" s="4"/>
      <c r="D42" s="4"/>
      <c r="E42" s="4"/>
      <c r="F42" s="4"/>
      <c r="G42" s="4"/>
      <c r="H42" s="4"/>
      <c r="I42" s="4"/>
      <c r="J42" s="4"/>
      <c r="K42" s="4"/>
      <c r="L42" s="4"/>
      <c r="M42" s="4"/>
      <c r="N42" s="4"/>
      <c r="O42" s="4"/>
      <c r="P42" s="4"/>
      <c r="Q42" s="4"/>
      <c r="R42" s="4"/>
      <c r="S42" s="4"/>
      <c r="T42" s="20"/>
      <c r="U42" s="4"/>
      <c r="V42" s="4"/>
      <c r="W42" s="4"/>
      <c r="X42" s="11"/>
      <c r="Y42" s="20"/>
      <c r="Z42" s="20"/>
      <c r="AA42" s="4"/>
      <c r="AB42" s="20"/>
      <c r="AC42" s="4"/>
      <c r="AD42" s="4"/>
      <c r="AE42" s="4"/>
    </row>
    <row r="43" spans="1:33" s="10" customFormat="1" ht="14.25" customHeight="1" x14ac:dyDescent="0.3">
      <c r="A43" s="41"/>
      <c r="B43" s="4"/>
      <c r="C43" s="4"/>
      <c r="D43" s="4"/>
      <c r="E43" s="4"/>
      <c r="F43" s="4"/>
      <c r="G43" s="4"/>
      <c r="H43" s="4"/>
      <c r="I43" s="4"/>
      <c r="J43" s="4"/>
      <c r="K43" s="4"/>
      <c r="L43" s="4"/>
      <c r="M43" s="4"/>
      <c r="N43" s="4"/>
      <c r="O43" s="4"/>
      <c r="P43" s="4"/>
      <c r="Q43" s="4"/>
      <c r="R43" s="4"/>
      <c r="S43" s="4"/>
      <c r="T43" s="20"/>
      <c r="U43" s="4"/>
      <c r="V43" s="4"/>
      <c r="W43" s="4"/>
      <c r="X43" s="4"/>
      <c r="Y43" s="20"/>
      <c r="Z43" s="20"/>
      <c r="AA43" s="4"/>
      <c r="AB43" s="20"/>
      <c r="AC43" s="4"/>
      <c r="AD43" s="4"/>
      <c r="AE43" s="4"/>
    </row>
    <row r="44" spans="1:33" s="10" customFormat="1" ht="14.25" customHeight="1" x14ac:dyDescent="0.3">
      <c r="A44" s="41"/>
      <c r="B44" s="4"/>
      <c r="C44" s="4"/>
      <c r="D44" s="4"/>
      <c r="E44" s="4"/>
      <c r="F44" s="4"/>
      <c r="G44" s="4"/>
      <c r="H44" s="4"/>
      <c r="I44" s="4"/>
      <c r="J44" s="4"/>
      <c r="K44" s="4"/>
      <c r="L44" s="4"/>
      <c r="M44" s="4"/>
      <c r="N44" s="4"/>
      <c r="O44" s="4"/>
      <c r="P44" s="4"/>
      <c r="Q44" s="4"/>
      <c r="R44" s="4"/>
      <c r="S44" s="4"/>
      <c r="T44" s="20"/>
      <c r="U44" s="4"/>
      <c r="V44" s="4"/>
      <c r="W44" s="4"/>
      <c r="X44" s="4"/>
      <c r="Y44" s="20"/>
      <c r="Z44" s="20"/>
      <c r="AA44" s="4"/>
      <c r="AB44" s="20"/>
      <c r="AC44" s="4"/>
      <c r="AD44" s="4"/>
      <c r="AE44" s="4"/>
    </row>
    <row r="45" spans="1:33" s="10" customFormat="1" ht="14.25" customHeight="1" x14ac:dyDescent="0.3">
      <c r="A45" s="41"/>
      <c r="B45" s="4"/>
      <c r="C45" s="4"/>
      <c r="D45" s="4"/>
      <c r="E45" s="4"/>
      <c r="F45" s="4"/>
      <c r="G45" s="4"/>
      <c r="H45" s="4"/>
      <c r="I45" s="4"/>
      <c r="J45" s="4"/>
      <c r="K45" s="4"/>
      <c r="L45" s="4"/>
      <c r="M45" s="4"/>
      <c r="N45" s="4"/>
      <c r="O45" s="4"/>
      <c r="P45" s="4"/>
      <c r="Q45" s="4"/>
      <c r="R45" s="4"/>
      <c r="S45" s="4"/>
      <c r="T45" s="20"/>
      <c r="U45" s="4"/>
      <c r="V45" s="4"/>
      <c r="W45" s="4"/>
      <c r="X45" s="4"/>
      <c r="Y45" s="20"/>
      <c r="Z45" s="20"/>
      <c r="AA45" s="4"/>
      <c r="AB45" s="20"/>
      <c r="AC45" s="4"/>
      <c r="AD45" s="4"/>
      <c r="AE45" s="4"/>
    </row>
    <row r="46" spans="1:33" s="10" customFormat="1" ht="14.25" customHeight="1" x14ac:dyDescent="0.3">
      <c r="A46" s="51"/>
      <c r="B46" s="21"/>
      <c r="C46" s="4"/>
      <c r="D46" s="4"/>
      <c r="E46" s="4"/>
      <c r="F46" s="4"/>
      <c r="G46" s="4"/>
      <c r="H46" s="4"/>
      <c r="I46" s="4"/>
      <c r="J46" s="21"/>
      <c r="K46" s="21"/>
      <c r="L46" s="21"/>
      <c r="M46" s="4"/>
      <c r="N46" s="4"/>
      <c r="O46" s="4"/>
      <c r="P46" s="4"/>
      <c r="Q46" s="4"/>
      <c r="R46" s="4"/>
      <c r="S46" s="4"/>
      <c r="T46" s="20"/>
      <c r="U46" s="4"/>
      <c r="V46" s="4"/>
      <c r="W46" s="4"/>
      <c r="X46" s="4"/>
      <c r="Y46" s="20"/>
      <c r="Z46" s="20"/>
      <c r="AA46" s="4"/>
      <c r="AB46" s="20"/>
      <c r="AC46" s="4"/>
      <c r="AD46" s="4"/>
      <c r="AE46" s="21"/>
    </row>
    <row r="47" spans="1:33" s="10" customFormat="1" ht="14.25" customHeight="1" x14ac:dyDescent="0.3">
      <c r="A47" s="51"/>
      <c r="B47" s="21"/>
      <c r="C47" s="4"/>
      <c r="D47" s="4"/>
      <c r="E47" s="4"/>
      <c r="F47" s="4"/>
      <c r="G47" s="4"/>
      <c r="H47" s="4"/>
      <c r="I47" s="4"/>
      <c r="J47" s="21"/>
      <c r="K47" s="21"/>
      <c r="L47" s="21"/>
      <c r="M47" s="4"/>
      <c r="N47" s="4"/>
      <c r="O47" s="4"/>
      <c r="P47" s="4"/>
      <c r="Q47" s="4"/>
      <c r="R47" s="4"/>
      <c r="S47" s="4"/>
      <c r="T47" s="20"/>
      <c r="U47" s="4"/>
      <c r="V47" s="4"/>
      <c r="W47" s="4"/>
      <c r="X47" s="4"/>
      <c r="Y47" s="20"/>
      <c r="Z47" s="20"/>
      <c r="AA47" s="4"/>
      <c r="AB47" s="20"/>
      <c r="AC47" s="4"/>
      <c r="AD47" s="4"/>
      <c r="AE47" s="21"/>
    </row>
    <row r="48" spans="1:33" s="10" customFormat="1" ht="14.25" customHeight="1" x14ac:dyDescent="0.3">
      <c r="A48" s="51"/>
      <c r="B48" s="21"/>
      <c r="C48" s="4"/>
      <c r="D48" s="4"/>
      <c r="E48" s="4"/>
      <c r="F48" s="4"/>
      <c r="G48" s="4"/>
      <c r="H48" s="4"/>
      <c r="I48" s="4"/>
      <c r="J48" s="21"/>
      <c r="K48" s="21"/>
      <c r="L48" s="21"/>
      <c r="M48" s="21"/>
      <c r="N48" s="21"/>
      <c r="O48" s="21"/>
      <c r="P48" s="21"/>
      <c r="Q48" s="21"/>
      <c r="R48" s="21"/>
      <c r="S48" s="21"/>
      <c r="T48" s="20"/>
      <c r="U48" s="21"/>
      <c r="V48" s="4"/>
      <c r="W48" s="4"/>
      <c r="X48" s="4"/>
      <c r="Y48" s="20"/>
      <c r="Z48" s="20"/>
      <c r="AA48" s="4"/>
      <c r="AB48" s="20"/>
      <c r="AC48" s="21"/>
      <c r="AD48" s="21"/>
      <c r="AE48" s="21"/>
    </row>
    <row r="49" spans="1:32" s="10" customFormat="1" ht="14.25" customHeight="1" x14ac:dyDescent="0.3">
      <c r="A49" s="51"/>
      <c r="B49" s="21"/>
      <c r="C49" s="4"/>
      <c r="D49" s="4"/>
      <c r="E49" s="4"/>
      <c r="F49" s="4"/>
      <c r="G49" s="4"/>
      <c r="H49" s="4"/>
      <c r="I49" s="4"/>
      <c r="J49" s="21"/>
      <c r="K49" s="21"/>
      <c r="L49" s="21"/>
      <c r="M49" s="21"/>
      <c r="N49" s="21"/>
      <c r="O49" s="21"/>
      <c r="P49" s="21"/>
      <c r="Q49" s="21"/>
      <c r="R49" s="21"/>
      <c r="S49" s="21"/>
      <c r="T49" s="20"/>
      <c r="U49" s="21"/>
      <c r="V49" s="4"/>
      <c r="W49" s="4"/>
      <c r="X49" s="4"/>
      <c r="Y49" s="20"/>
      <c r="Z49" s="20"/>
      <c r="AA49" s="4"/>
      <c r="AB49" s="20"/>
      <c r="AC49" s="21"/>
      <c r="AD49" s="21"/>
      <c r="AE49" s="21"/>
    </row>
    <row r="50" spans="1:32" s="4" customFormat="1" ht="14.25" customHeight="1" x14ac:dyDescent="0.3">
      <c r="A50" s="51"/>
      <c r="B50" s="21"/>
      <c r="J50" s="21"/>
      <c r="K50" s="21"/>
      <c r="L50" s="21"/>
      <c r="M50" s="21"/>
      <c r="N50" s="21"/>
      <c r="O50" s="21"/>
      <c r="P50" s="21"/>
      <c r="Q50" s="21"/>
      <c r="R50" s="21"/>
      <c r="S50" s="21"/>
      <c r="T50" s="20"/>
      <c r="U50" s="21"/>
      <c r="Y50" s="20"/>
      <c r="Z50" s="20"/>
      <c r="AB50" s="20"/>
      <c r="AC50" s="21"/>
      <c r="AD50" s="21"/>
      <c r="AE50" s="21"/>
      <c r="AF50" s="10"/>
    </row>
    <row r="51" spans="1:32" s="4" customFormat="1" ht="14.25" customHeight="1" x14ac:dyDescent="0.3">
      <c r="A51" s="51"/>
      <c r="B51" s="21"/>
      <c r="J51" s="21"/>
      <c r="K51" s="21"/>
      <c r="L51" s="21"/>
      <c r="M51" s="21"/>
      <c r="N51" s="21"/>
      <c r="O51" s="21"/>
      <c r="P51" s="21"/>
      <c r="Q51" s="21"/>
      <c r="R51" s="21"/>
      <c r="S51" s="21"/>
      <c r="T51" s="20"/>
      <c r="U51" s="21"/>
      <c r="Y51" s="20"/>
      <c r="Z51" s="20"/>
      <c r="AB51" s="20"/>
      <c r="AC51" s="21"/>
      <c r="AD51" s="21"/>
      <c r="AE51" s="21"/>
      <c r="AF51" s="10"/>
    </row>
    <row r="52" spans="1:32" s="10" customFormat="1" ht="14.25" customHeight="1" x14ac:dyDescent="0.3">
      <c r="A52" s="51"/>
      <c r="B52" s="21"/>
      <c r="C52" s="4"/>
      <c r="D52" s="4"/>
      <c r="E52" s="4"/>
      <c r="F52" s="4"/>
      <c r="G52" s="4"/>
      <c r="H52" s="4"/>
      <c r="I52" s="4"/>
      <c r="J52" s="21"/>
      <c r="K52" s="21"/>
      <c r="L52" s="21"/>
      <c r="M52" s="21"/>
      <c r="N52" s="21"/>
      <c r="O52" s="21"/>
      <c r="P52" s="21"/>
      <c r="Q52" s="21"/>
      <c r="R52" s="21"/>
      <c r="S52" s="21"/>
      <c r="T52" s="20"/>
      <c r="U52" s="21"/>
      <c r="V52" s="4"/>
      <c r="W52" s="4"/>
      <c r="X52" s="4"/>
      <c r="Y52" s="20"/>
      <c r="Z52" s="20"/>
      <c r="AA52" s="4"/>
      <c r="AB52" s="20"/>
      <c r="AC52" s="21"/>
      <c r="AD52" s="21"/>
      <c r="AE52" s="21"/>
    </row>
    <row r="53" spans="1:32" s="10" customFormat="1" ht="14.25" customHeight="1" x14ac:dyDescent="0.3">
      <c r="A53" s="51"/>
      <c r="B53" s="21"/>
      <c r="C53" s="4"/>
      <c r="D53" s="4"/>
      <c r="E53" s="4"/>
      <c r="F53" s="4"/>
      <c r="G53" s="4"/>
      <c r="H53" s="4"/>
      <c r="I53" s="4"/>
      <c r="J53" s="21"/>
      <c r="K53" s="21"/>
      <c r="L53" s="21"/>
      <c r="M53" s="21"/>
      <c r="N53" s="21"/>
      <c r="O53" s="21"/>
      <c r="P53" s="21"/>
      <c r="Q53" s="21"/>
      <c r="R53" s="21"/>
      <c r="S53" s="21"/>
      <c r="T53" s="20"/>
      <c r="U53" s="21"/>
      <c r="V53" s="4"/>
      <c r="W53" s="4"/>
      <c r="X53" s="4"/>
      <c r="Y53" s="20"/>
      <c r="Z53" s="20"/>
      <c r="AA53" s="4"/>
      <c r="AB53" s="20"/>
      <c r="AC53" s="21"/>
      <c r="AD53" s="21"/>
      <c r="AE53" s="21"/>
    </row>
    <row r="54" spans="1:32" s="10" customFormat="1" ht="14.25" customHeight="1" x14ac:dyDescent="0.3">
      <c r="A54" s="51"/>
      <c r="B54" s="21"/>
      <c r="C54" s="4"/>
      <c r="D54" s="4"/>
      <c r="E54" s="4"/>
      <c r="F54" s="4"/>
      <c r="G54" s="4"/>
      <c r="H54" s="4"/>
      <c r="I54" s="4"/>
      <c r="J54" s="21"/>
      <c r="K54" s="21"/>
      <c r="L54" s="21"/>
      <c r="M54" s="21"/>
      <c r="N54" s="21"/>
      <c r="O54" s="21"/>
      <c r="P54" s="21"/>
      <c r="Q54" s="21"/>
      <c r="R54" s="21"/>
      <c r="S54" s="21"/>
      <c r="T54" s="20"/>
      <c r="U54" s="21"/>
      <c r="V54" s="4"/>
      <c r="W54" s="4"/>
      <c r="X54" s="4"/>
      <c r="Y54" s="20"/>
      <c r="Z54" s="20"/>
      <c r="AA54" s="4"/>
      <c r="AB54" s="20"/>
      <c r="AC54" s="21"/>
      <c r="AD54" s="21"/>
      <c r="AE54" s="21"/>
      <c r="AF54" s="4"/>
    </row>
    <row r="55" spans="1:32" s="10" customFormat="1" ht="14.25" customHeight="1" x14ac:dyDescent="0.3">
      <c r="A55" s="51"/>
      <c r="B55" s="21"/>
      <c r="C55" s="4"/>
      <c r="D55" s="4"/>
      <c r="E55" s="4"/>
      <c r="F55" s="4"/>
      <c r="G55" s="4"/>
      <c r="H55" s="4"/>
      <c r="I55" s="4"/>
      <c r="J55" s="21"/>
      <c r="K55" s="21"/>
      <c r="L55" s="21"/>
      <c r="M55" s="21"/>
      <c r="N55" s="21"/>
      <c r="O55" s="21"/>
      <c r="P55" s="21"/>
      <c r="Q55" s="21"/>
      <c r="R55" s="21"/>
      <c r="S55" s="21"/>
      <c r="T55" s="20"/>
      <c r="U55" s="21"/>
      <c r="V55" s="4"/>
      <c r="W55" s="4"/>
      <c r="X55" s="4"/>
      <c r="Y55" s="20"/>
      <c r="Z55" s="20"/>
      <c r="AA55" s="4"/>
      <c r="AB55" s="20"/>
      <c r="AC55" s="21"/>
      <c r="AD55" s="21"/>
      <c r="AE55" s="21"/>
      <c r="AF55" s="4"/>
    </row>
    <row r="56" spans="1:32" s="10" customFormat="1" ht="14.25" customHeight="1" x14ac:dyDescent="0.3">
      <c r="A56" s="51"/>
      <c r="B56" s="21"/>
      <c r="C56" s="4"/>
      <c r="D56" s="4"/>
      <c r="E56" s="4"/>
      <c r="F56" s="4"/>
      <c r="G56" s="4"/>
      <c r="H56" s="4"/>
      <c r="I56" s="4"/>
      <c r="J56" s="21"/>
      <c r="K56" s="21"/>
      <c r="L56" s="21"/>
      <c r="M56" s="21"/>
      <c r="N56" s="21"/>
      <c r="O56" s="21"/>
      <c r="P56" s="21"/>
      <c r="Q56" s="21"/>
      <c r="R56" s="21"/>
      <c r="S56" s="21"/>
      <c r="T56" s="20"/>
      <c r="U56" s="21"/>
      <c r="V56" s="4"/>
      <c r="W56" s="4"/>
      <c r="X56" s="4"/>
      <c r="Y56" s="20"/>
      <c r="Z56" s="20"/>
      <c r="AA56" s="4"/>
      <c r="AB56" s="20"/>
      <c r="AC56" s="21"/>
      <c r="AD56" s="21"/>
      <c r="AE56" s="21"/>
    </row>
    <row r="57" spans="1:32" s="10" customFormat="1" ht="14.25" customHeight="1" x14ac:dyDescent="0.3">
      <c r="A57" s="51"/>
      <c r="B57" s="21"/>
      <c r="C57" s="4"/>
      <c r="D57" s="4"/>
      <c r="E57" s="4"/>
      <c r="F57" s="4"/>
      <c r="G57" s="4"/>
      <c r="H57" s="4"/>
      <c r="I57" s="4"/>
      <c r="J57" s="21"/>
      <c r="K57" s="21"/>
      <c r="L57" s="21"/>
      <c r="M57" s="21"/>
      <c r="N57" s="21"/>
      <c r="O57" s="21"/>
      <c r="P57" s="21"/>
      <c r="Q57" s="21"/>
      <c r="R57" s="21"/>
      <c r="S57" s="21"/>
      <c r="T57" s="20"/>
      <c r="U57" s="21"/>
      <c r="V57" s="4"/>
      <c r="W57" s="4"/>
      <c r="X57" s="4"/>
      <c r="Y57" s="20"/>
      <c r="Z57" s="20"/>
      <c r="AA57" s="4"/>
      <c r="AB57" s="20"/>
      <c r="AC57" s="21"/>
      <c r="AD57" s="21"/>
      <c r="AE57" s="21"/>
    </row>
    <row r="58" spans="1:32" s="10" customFormat="1" ht="14.25" customHeight="1" x14ac:dyDescent="0.3">
      <c r="A58" s="51"/>
      <c r="B58" s="21"/>
      <c r="C58" s="4"/>
      <c r="D58" s="4"/>
      <c r="E58" s="4"/>
      <c r="F58" s="4"/>
      <c r="G58" s="4"/>
      <c r="H58" s="4"/>
      <c r="I58" s="4"/>
      <c r="J58" s="21"/>
      <c r="K58" s="21"/>
      <c r="L58" s="21"/>
      <c r="M58" s="21"/>
      <c r="N58" s="21"/>
      <c r="O58" s="21"/>
      <c r="P58" s="21"/>
      <c r="Q58" s="21"/>
      <c r="R58" s="21"/>
      <c r="S58" s="21"/>
      <c r="T58" s="20"/>
      <c r="U58" s="21"/>
      <c r="V58" s="4"/>
      <c r="W58" s="4"/>
      <c r="X58" s="4"/>
      <c r="Y58" s="20"/>
      <c r="Z58" s="20"/>
      <c r="AA58" s="4"/>
      <c r="AB58" s="20"/>
      <c r="AC58" s="21"/>
      <c r="AD58" s="21"/>
      <c r="AE58" s="21"/>
    </row>
    <row r="59" spans="1:32" s="10" customFormat="1" ht="14.25" customHeight="1" x14ac:dyDescent="0.3">
      <c r="A59" s="51"/>
      <c r="B59" s="21"/>
      <c r="C59" s="4"/>
      <c r="D59" s="4"/>
      <c r="E59" s="4"/>
      <c r="F59" s="4"/>
      <c r="G59" s="4"/>
      <c r="H59" s="4"/>
      <c r="I59" s="4"/>
      <c r="J59" s="21"/>
      <c r="K59" s="21"/>
      <c r="L59" s="21"/>
      <c r="M59" s="21"/>
      <c r="N59" s="21"/>
      <c r="O59" s="21"/>
      <c r="P59" s="21"/>
      <c r="Q59" s="21"/>
      <c r="R59" s="21"/>
      <c r="S59" s="21"/>
      <c r="T59" s="20"/>
      <c r="U59" s="21"/>
      <c r="V59" s="4"/>
      <c r="W59" s="4"/>
      <c r="X59" s="4"/>
      <c r="Y59" s="20"/>
      <c r="Z59" s="20"/>
      <c r="AA59" s="4"/>
      <c r="AB59" s="20"/>
      <c r="AC59" s="21"/>
      <c r="AD59" s="21"/>
      <c r="AE59" s="21"/>
    </row>
    <row r="60" spans="1:32" s="10" customFormat="1" ht="14.25" customHeight="1" x14ac:dyDescent="0.3">
      <c r="A60" s="51"/>
      <c r="B60" s="21"/>
      <c r="C60" s="4"/>
      <c r="D60" s="4"/>
      <c r="E60" s="4"/>
      <c r="F60" s="4"/>
      <c r="G60" s="4"/>
      <c r="H60" s="4"/>
      <c r="I60" s="4"/>
      <c r="J60" s="21"/>
      <c r="K60" s="21"/>
      <c r="L60" s="21"/>
      <c r="M60" s="21"/>
      <c r="N60" s="21"/>
      <c r="O60" s="21"/>
      <c r="P60" s="21"/>
      <c r="Q60" s="21"/>
      <c r="R60" s="21"/>
      <c r="S60" s="21"/>
      <c r="T60" s="20"/>
      <c r="U60" s="21"/>
      <c r="V60" s="4"/>
      <c r="W60" s="4"/>
      <c r="X60" s="4"/>
      <c r="Y60" s="20"/>
      <c r="Z60" s="20"/>
      <c r="AA60" s="4"/>
      <c r="AB60" s="20"/>
      <c r="AC60" s="21"/>
      <c r="AD60" s="21"/>
      <c r="AE60" s="21"/>
    </row>
    <row r="61" spans="1:32" s="10" customFormat="1" ht="14.25" customHeight="1" x14ac:dyDescent="0.3">
      <c r="A61" s="51"/>
      <c r="B61" s="21"/>
      <c r="C61" s="4"/>
      <c r="D61" s="4"/>
      <c r="E61" s="4"/>
      <c r="F61" s="4"/>
      <c r="G61" s="4"/>
      <c r="H61" s="4"/>
      <c r="I61" s="4"/>
      <c r="J61" s="21"/>
      <c r="K61" s="21"/>
      <c r="L61" s="21"/>
      <c r="M61" s="21"/>
      <c r="N61" s="21"/>
      <c r="O61" s="21"/>
      <c r="P61" s="21"/>
      <c r="Q61" s="21"/>
      <c r="R61" s="21"/>
      <c r="S61" s="21"/>
      <c r="T61" s="20"/>
      <c r="U61" s="21"/>
      <c r="V61" s="4"/>
      <c r="W61" s="4"/>
      <c r="X61" s="4"/>
      <c r="Y61" s="20"/>
      <c r="Z61" s="20"/>
      <c r="AA61" s="4"/>
      <c r="AB61" s="20"/>
      <c r="AC61" s="21"/>
      <c r="AD61" s="21"/>
      <c r="AE61" s="21"/>
    </row>
    <row r="62" spans="1:32" s="10" customFormat="1" ht="14.25" customHeight="1" x14ac:dyDescent="0.3">
      <c r="A62" s="51"/>
      <c r="B62" s="21"/>
      <c r="C62" s="4"/>
      <c r="D62" s="4"/>
      <c r="E62" s="4"/>
      <c r="F62" s="4"/>
      <c r="G62" s="4"/>
      <c r="H62" s="4"/>
      <c r="I62" s="4"/>
      <c r="J62" s="21"/>
      <c r="K62" s="21"/>
      <c r="L62" s="21"/>
      <c r="M62" s="21"/>
      <c r="N62" s="21"/>
      <c r="O62" s="21"/>
      <c r="P62" s="21"/>
      <c r="Q62" s="21"/>
      <c r="R62" s="21"/>
      <c r="S62" s="21"/>
      <c r="T62" s="20"/>
      <c r="U62" s="21"/>
      <c r="V62" s="4"/>
      <c r="W62" s="4"/>
      <c r="X62" s="4"/>
      <c r="Y62" s="20"/>
      <c r="Z62" s="20"/>
      <c r="AA62" s="4"/>
      <c r="AB62" s="20"/>
      <c r="AC62" s="21"/>
      <c r="AD62" s="21"/>
      <c r="AE62" s="21"/>
    </row>
    <row r="63" spans="1:32" s="10" customFormat="1" ht="14.25" customHeight="1" x14ac:dyDescent="0.3">
      <c r="A63" s="51"/>
      <c r="B63" s="21"/>
      <c r="C63" s="4"/>
      <c r="D63" s="4"/>
      <c r="E63" s="4"/>
      <c r="F63" s="4"/>
      <c r="G63" s="4"/>
      <c r="H63" s="4"/>
      <c r="I63" s="4"/>
      <c r="J63" s="21"/>
      <c r="K63" s="21"/>
      <c r="L63" s="21"/>
      <c r="M63" s="21"/>
      <c r="N63" s="21"/>
      <c r="O63" s="21"/>
      <c r="P63" s="21"/>
      <c r="Q63" s="21"/>
      <c r="R63" s="21"/>
      <c r="S63" s="21"/>
      <c r="T63" s="20"/>
      <c r="U63" s="21"/>
      <c r="V63" s="4"/>
      <c r="W63" s="4"/>
      <c r="X63" s="4"/>
      <c r="Y63" s="20"/>
      <c r="Z63" s="20"/>
      <c r="AA63" s="4"/>
      <c r="AB63" s="20"/>
      <c r="AC63" s="21"/>
      <c r="AD63" s="21"/>
      <c r="AE63" s="21"/>
    </row>
    <row r="64" spans="1:32" s="10" customFormat="1" ht="14.25" customHeight="1" x14ac:dyDescent="0.3">
      <c r="A64" s="51"/>
      <c r="B64" s="21"/>
      <c r="C64" s="4"/>
      <c r="D64" s="4"/>
      <c r="E64" s="4"/>
      <c r="F64" s="4"/>
      <c r="G64" s="4"/>
      <c r="H64" s="4"/>
      <c r="I64" s="4"/>
      <c r="J64" s="21"/>
      <c r="K64" s="21"/>
      <c r="L64" s="21"/>
      <c r="M64" s="21"/>
      <c r="N64" s="21"/>
      <c r="O64" s="21"/>
      <c r="P64" s="21"/>
      <c r="Q64" s="21"/>
      <c r="R64" s="21"/>
      <c r="S64" s="21"/>
      <c r="T64" s="20"/>
      <c r="U64" s="21"/>
      <c r="V64" s="4"/>
      <c r="W64" s="4"/>
      <c r="X64" s="4"/>
      <c r="Y64" s="20"/>
      <c r="Z64" s="20"/>
      <c r="AA64" s="4"/>
      <c r="AB64" s="20"/>
      <c r="AC64" s="21"/>
      <c r="AD64" s="21"/>
      <c r="AE64" s="21"/>
    </row>
    <row r="65" spans="1:32" s="10" customFormat="1" ht="14.25" customHeight="1" x14ac:dyDescent="0.3">
      <c r="A65" s="51"/>
      <c r="B65" s="21"/>
      <c r="C65" s="4"/>
      <c r="D65" s="4"/>
      <c r="E65" s="4"/>
      <c r="F65" s="4"/>
      <c r="G65" s="4"/>
      <c r="H65" s="4"/>
      <c r="I65" s="4"/>
      <c r="J65" s="21"/>
      <c r="K65" s="21"/>
      <c r="L65" s="21"/>
      <c r="M65" s="21"/>
      <c r="N65" s="21"/>
      <c r="O65" s="21"/>
      <c r="P65" s="21"/>
      <c r="Q65" s="21"/>
      <c r="R65" s="21"/>
      <c r="S65" s="21"/>
      <c r="T65" s="20"/>
      <c r="U65" s="21"/>
      <c r="V65" s="4"/>
      <c r="W65" s="4"/>
      <c r="X65" s="4"/>
      <c r="Y65" s="20"/>
      <c r="Z65" s="20"/>
      <c r="AA65" s="4"/>
      <c r="AB65" s="20"/>
      <c r="AC65" s="21"/>
      <c r="AD65" s="21"/>
      <c r="AE65" s="21"/>
    </row>
    <row r="66" spans="1:32" s="10" customFormat="1" ht="14.25" customHeight="1" x14ac:dyDescent="0.3">
      <c r="A66" s="51"/>
      <c r="B66" s="21"/>
      <c r="C66" s="4"/>
      <c r="D66" s="4"/>
      <c r="E66" s="4"/>
      <c r="F66" s="4"/>
      <c r="G66" s="4"/>
      <c r="H66" s="4"/>
      <c r="I66" s="4"/>
      <c r="J66" s="21"/>
      <c r="K66" s="21"/>
      <c r="L66" s="21"/>
      <c r="M66" s="21"/>
      <c r="N66" s="21"/>
      <c r="O66" s="21"/>
      <c r="P66" s="21"/>
      <c r="Q66" s="21"/>
      <c r="R66" s="21"/>
      <c r="S66" s="21"/>
      <c r="T66" s="20"/>
      <c r="U66" s="21"/>
      <c r="V66" s="4"/>
      <c r="W66" s="4"/>
      <c r="X66" s="4"/>
      <c r="Y66" s="20"/>
      <c r="Z66" s="20"/>
      <c r="AA66" s="4"/>
      <c r="AB66" s="20"/>
      <c r="AC66" s="21"/>
      <c r="AD66" s="21"/>
      <c r="AE66" s="21"/>
    </row>
    <row r="67" spans="1:32" s="10" customFormat="1" ht="14.25" customHeight="1" x14ac:dyDescent="0.3">
      <c r="A67" s="51"/>
      <c r="B67" s="21"/>
      <c r="C67" s="4"/>
      <c r="D67" s="4"/>
      <c r="E67" s="4"/>
      <c r="F67" s="4"/>
      <c r="G67" s="4"/>
      <c r="H67" s="4"/>
      <c r="I67" s="4"/>
      <c r="J67" s="21"/>
      <c r="K67" s="21"/>
      <c r="L67" s="21"/>
      <c r="M67" s="21"/>
      <c r="N67" s="21"/>
      <c r="O67" s="21"/>
      <c r="P67" s="21"/>
      <c r="Q67" s="21"/>
      <c r="R67" s="21"/>
      <c r="S67" s="21"/>
      <c r="T67" s="20"/>
      <c r="U67" s="21"/>
      <c r="V67" s="4"/>
      <c r="W67" s="4"/>
      <c r="X67" s="4"/>
      <c r="Y67" s="20"/>
      <c r="Z67" s="20"/>
      <c r="AA67" s="4"/>
      <c r="AB67" s="20"/>
      <c r="AC67" s="21"/>
      <c r="AD67" s="21"/>
      <c r="AE67" s="21"/>
    </row>
    <row r="68" spans="1:32" s="10" customFormat="1" ht="14.25" customHeight="1" x14ac:dyDescent="0.3">
      <c r="A68" s="51"/>
      <c r="B68" s="21"/>
      <c r="C68" s="4"/>
      <c r="D68" s="4"/>
      <c r="E68" s="4"/>
      <c r="F68" s="4"/>
      <c r="G68" s="4"/>
      <c r="H68" s="4"/>
      <c r="I68" s="4"/>
      <c r="J68" s="21"/>
      <c r="K68" s="21"/>
      <c r="L68" s="21"/>
      <c r="M68" s="21"/>
      <c r="N68" s="21"/>
      <c r="O68" s="21"/>
      <c r="P68" s="21"/>
      <c r="Q68" s="21"/>
      <c r="R68" s="21"/>
      <c r="S68" s="21"/>
      <c r="T68" s="20"/>
      <c r="U68" s="21"/>
      <c r="V68" s="4"/>
      <c r="W68" s="4"/>
      <c r="X68" s="4"/>
      <c r="Y68" s="20"/>
      <c r="Z68" s="20"/>
      <c r="AA68" s="4"/>
      <c r="AB68" s="20"/>
      <c r="AC68" s="21"/>
      <c r="AD68" s="21"/>
      <c r="AE68" s="21"/>
    </row>
    <row r="69" spans="1:32" s="10" customFormat="1" ht="14.25" customHeight="1" x14ac:dyDescent="0.3">
      <c r="A69" s="51"/>
      <c r="B69" s="21"/>
      <c r="C69" s="4"/>
      <c r="D69" s="4"/>
      <c r="E69" s="4"/>
      <c r="F69" s="4"/>
      <c r="G69" s="4"/>
      <c r="H69" s="4"/>
      <c r="I69" s="4"/>
      <c r="J69" s="21"/>
      <c r="K69" s="21"/>
      <c r="L69" s="21"/>
      <c r="M69" s="21"/>
      <c r="N69" s="21"/>
      <c r="O69" s="21"/>
      <c r="P69" s="21"/>
      <c r="Q69" s="21"/>
      <c r="R69" s="21"/>
      <c r="S69" s="21"/>
      <c r="T69" s="20"/>
      <c r="U69" s="21"/>
      <c r="V69" s="4"/>
      <c r="W69" s="4"/>
      <c r="X69" s="4"/>
      <c r="Y69" s="20"/>
      <c r="Z69" s="20"/>
      <c r="AA69" s="4"/>
      <c r="AB69" s="20"/>
      <c r="AC69" s="21"/>
      <c r="AD69" s="21"/>
      <c r="AE69" s="21"/>
    </row>
    <row r="70" spans="1:32" s="10" customFormat="1" ht="14.25" customHeight="1" x14ac:dyDescent="0.3">
      <c r="A70" s="51"/>
      <c r="B70" s="21"/>
      <c r="C70" s="4"/>
      <c r="D70" s="4"/>
      <c r="E70" s="4"/>
      <c r="F70" s="4"/>
      <c r="G70" s="4"/>
      <c r="H70" s="4"/>
      <c r="I70" s="4"/>
      <c r="J70" s="21"/>
      <c r="K70" s="21"/>
      <c r="L70" s="21"/>
      <c r="M70" s="21"/>
      <c r="N70" s="21"/>
      <c r="O70" s="21"/>
      <c r="P70" s="21"/>
      <c r="Q70" s="21"/>
      <c r="R70" s="21"/>
      <c r="S70" s="21"/>
      <c r="T70" s="20"/>
      <c r="U70" s="21"/>
      <c r="V70" s="4"/>
      <c r="W70" s="4"/>
      <c r="X70" s="4"/>
      <c r="Y70" s="20"/>
      <c r="Z70" s="20"/>
      <c r="AA70" s="4"/>
      <c r="AB70" s="20"/>
      <c r="AC70" s="21"/>
      <c r="AD70" s="21"/>
      <c r="AE70" s="21"/>
    </row>
    <row r="71" spans="1:32" s="10" customFormat="1" ht="14.25" customHeight="1" x14ac:dyDescent="0.3">
      <c r="A71" s="51"/>
      <c r="B71" s="21"/>
      <c r="C71" s="4"/>
      <c r="D71" s="4"/>
      <c r="E71" s="4"/>
      <c r="F71" s="4"/>
      <c r="G71" s="4"/>
      <c r="H71" s="4"/>
      <c r="I71" s="4"/>
      <c r="J71" s="21"/>
      <c r="K71" s="21"/>
      <c r="L71" s="21"/>
      <c r="M71" s="21"/>
      <c r="N71" s="21"/>
      <c r="O71" s="21"/>
      <c r="P71" s="21"/>
      <c r="Q71" s="21"/>
      <c r="R71" s="21"/>
      <c r="S71" s="21"/>
      <c r="T71" s="20"/>
      <c r="U71" s="21"/>
      <c r="V71" s="4"/>
      <c r="W71" s="4"/>
      <c r="X71" s="4"/>
      <c r="Y71" s="20"/>
      <c r="Z71" s="20"/>
      <c r="AA71" s="4"/>
      <c r="AB71" s="20"/>
      <c r="AC71" s="21"/>
      <c r="AD71" s="21"/>
      <c r="AE71" s="21"/>
    </row>
    <row r="72" spans="1:32" s="10" customFormat="1" ht="14.25" customHeight="1" x14ac:dyDescent="0.3">
      <c r="A72" s="51"/>
      <c r="B72" s="21"/>
      <c r="C72" s="4"/>
      <c r="D72" s="4"/>
      <c r="E72" s="4"/>
      <c r="F72" s="4"/>
      <c r="G72" s="4"/>
      <c r="H72" s="4"/>
      <c r="I72" s="4"/>
      <c r="J72" s="21"/>
      <c r="K72" s="21"/>
      <c r="L72" s="21"/>
      <c r="M72" s="21"/>
      <c r="N72" s="21"/>
      <c r="O72" s="21"/>
      <c r="P72" s="21"/>
      <c r="Q72" s="21"/>
      <c r="R72" s="21"/>
      <c r="S72" s="21"/>
      <c r="T72" s="20"/>
      <c r="U72" s="21"/>
      <c r="V72" s="4"/>
      <c r="W72" s="4"/>
      <c r="X72" s="4"/>
      <c r="Y72" s="20"/>
      <c r="Z72" s="20"/>
      <c r="AA72" s="4"/>
      <c r="AB72" s="20"/>
      <c r="AC72" s="21"/>
      <c r="AD72" s="21"/>
      <c r="AE72" s="21"/>
    </row>
    <row r="73" spans="1:32" s="10" customFormat="1" ht="14.25" customHeight="1" x14ac:dyDescent="0.3">
      <c r="A73" s="51"/>
      <c r="B73" s="21"/>
      <c r="C73" s="4"/>
      <c r="D73" s="4"/>
      <c r="E73" s="4"/>
      <c r="F73" s="4"/>
      <c r="G73" s="4"/>
      <c r="H73" s="4"/>
      <c r="I73" s="4"/>
      <c r="J73" s="21"/>
      <c r="K73" s="21"/>
      <c r="L73" s="21"/>
      <c r="M73" s="21"/>
      <c r="N73" s="21"/>
      <c r="O73" s="21"/>
      <c r="P73" s="21"/>
      <c r="Q73" s="21"/>
      <c r="R73" s="21"/>
      <c r="S73" s="21"/>
      <c r="T73" s="20"/>
      <c r="U73" s="21"/>
      <c r="V73" s="4"/>
      <c r="W73" s="4"/>
      <c r="X73" s="4"/>
      <c r="Y73" s="20"/>
      <c r="Z73" s="20"/>
      <c r="AA73" s="4"/>
      <c r="AB73" s="20"/>
      <c r="AC73" s="21"/>
      <c r="AD73" s="21"/>
      <c r="AE73" s="21"/>
    </row>
    <row r="74" spans="1:32" s="10" customFormat="1" ht="14.25" customHeight="1" x14ac:dyDescent="0.3">
      <c r="A74" s="51"/>
      <c r="B74" s="21"/>
      <c r="C74" s="4"/>
      <c r="D74" s="4"/>
      <c r="E74" s="4"/>
      <c r="F74" s="4"/>
      <c r="G74" s="4"/>
      <c r="H74" s="4"/>
      <c r="I74" s="4"/>
      <c r="J74" s="21"/>
      <c r="K74" s="21"/>
      <c r="L74" s="21"/>
      <c r="M74" s="21"/>
      <c r="N74" s="21"/>
      <c r="O74" s="21"/>
      <c r="P74" s="21"/>
      <c r="Q74" s="21"/>
      <c r="R74" s="21"/>
      <c r="S74" s="21"/>
      <c r="T74" s="20"/>
      <c r="U74" s="21"/>
      <c r="V74" s="4"/>
      <c r="W74" s="4"/>
      <c r="X74" s="4"/>
      <c r="Y74" s="20"/>
      <c r="Z74" s="20"/>
      <c r="AA74" s="4"/>
      <c r="AB74" s="20"/>
      <c r="AC74" s="21"/>
      <c r="AD74" s="21"/>
      <c r="AE74" s="21"/>
    </row>
    <row r="75" spans="1:32" s="10" customFormat="1" ht="14.25" customHeight="1" x14ac:dyDescent="0.3">
      <c r="A75" s="51"/>
      <c r="B75" s="21"/>
      <c r="C75" s="4"/>
      <c r="D75" s="4"/>
      <c r="E75" s="4"/>
      <c r="F75" s="4"/>
      <c r="G75" s="4"/>
      <c r="H75" s="4"/>
      <c r="I75" s="4"/>
      <c r="J75" s="21"/>
      <c r="K75" s="21"/>
      <c r="L75" s="21"/>
      <c r="M75" s="21"/>
      <c r="N75" s="21"/>
      <c r="O75" s="21"/>
      <c r="P75" s="21"/>
      <c r="Q75" s="21"/>
      <c r="R75" s="21"/>
      <c r="S75" s="21"/>
      <c r="T75" s="20"/>
      <c r="U75" s="21"/>
      <c r="V75" s="4"/>
      <c r="W75" s="4"/>
      <c r="X75" s="4"/>
      <c r="Y75" s="20"/>
      <c r="Z75" s="20"/>
      <c r="AA75" s="4"/>
      <c r="AB75" s="20"/>
      <c r="AC75" s="21"/>
      <c r="AD75" s="21"/>
      <c r="AE75" s="21"/>
    </row>
    <row r="76" spans="1:32" ht="14.25" customHeight="1" x14ac:dyDescent="0.3">
      <c r="AF76" s="10"/>
    </row>
    <row r="77" spans="1:32" ht="14.25" customHeight="1" x14ac:dyDescent="0.3">
      <c r="AF77" s="10"/>
    </row>
    <row r="78" spans="1:32" s="10" customFormat="1" ht="14.25" customHeight="1" x14ac:dyDescent="0.3">
      <c r="A78" s="51"/>
      <c r="B78" s="21"/>
      <c r="C78" s="4"/>
      <c r="D78" s="4"/>
      <c r="E78" s="4"/>
      <c r="F78" s="4"/>
      <c r="G78" s="4"/>
      <c r="H78" s="4"/>
      <c r="I78" s="4"/>
      <c r="J78" s="21"/>
      <c r="K78" s="21"/>
      <c r="L78" s="21"/>
      <c r="M78" s="21"/>
      <c r="N78" s="21"/>
      <c r="O78" s="21"/>
      <c r="P78" s="21"/>
      <c r="Q78" s="21"/>
      <c r="R78" s="21"/>
      <c r="S78" s="21"/>
      <c r="T78" s="20"/>
      <c r="U78" s="21"/>
      <c r="V78" s="4"/>
      <c r="W78" s="4"/>
      <c r="X78" s="4"/>
      <c r="Y78" s="20"/>
      <c r="Z78" s="20"/>
      <c r="AA78" s="4"/>
      <c r="AB78" s="20"/>
      <c r="AC78" s="21"/>
      <c r="AD78" s="21"/>
      <c r="AE78" s="21"/>
    </row>
    <row r="79" spans="1:32" s="10" customFormat="1" ht="14.25" customHeight="1" x14ac:dyDescent="0.3">
      <c r="A79" s="51"/>
      <c r="B79" s="21"/>
      <c r="C79" s="4"/>
      <c r="D79" s="4"/>
      <c r="E79" s="4"/>
      <c r="F79" s="4"/>
      <c r="G79" s="4"/>
      <c r="H79" s="4"/>
      <c r="I79" s="4"/>
      <c r="J79" s="21"/>
      <c r="K79" s="21"/>
      <c r="L79" s="21"/>
      <c r="M79" s="21"/>
      <c r="N79" s="21"/>
      <c r="O79" s="21"/>
      <c r="P79" s="21"/>
      <c r="Q79" s="21"/>
      <c r="R79" s="21"/>
      <c r="S79" s="21"/>
      <c r="T79" s="20"/>
      <c r="U79" s="21"/>
      <c r="V79" s="4"/>
      <c r="W79" s="4"/>
      <c r="X79" s="4"/>
      <c r="Y79" s="20"/>
      <c r="Z79" s="20"/>
      <c r="AA79" s="4"/>
      <c r="AB79" s="20"/>
      <c r="AC79" s="21"/>
      <c r="AD79" s="21"/>
      <c r="AE79" s="21"/>
    </row>
    <row r="80" spans="1:32" s="10" customFormat="1" ht="14.25" customHeight="1" x14ac:dyDescent="0.3">
      <c r="A80" s="51"/>
      <c r="B80" s="21"/>
      <c r="C80" s="4"/>
      <c r="D80" s="4"/>
      <c r="E80" s="4"/>
      <c r="F80" s="4"/>
      <c r="G80" s="4"/>
      <c r="H80" s="4"/>
      <c r="I80" s="4"/>
      <c r="J80" s="21"/>
      <c r="K80" s="21"/>
      <c r="L80" s="21"/>
      <c r="M80" s="21"/>
      <c r="N80" s="21"/>
      <c r="O80" s="21"/>
      <c r="P80" s="21"/>
      <c r="Q80" s="21"/>
      <c r="R80" s="21"/>
      <c r="S80" s="21"/>
      <c r="T80" s="20"/>
      <c r="U80" s="21"/>
      <c r="V80" s="4"/>
      <c r="W80" s="4"/>
      <c r="X80" s="4"/>
      <c r="Y80" s="20"/>
      <c r="Z80" s="20"/>
      <c r="AA80" s="4"/>
      <c r="AB80" s="20"/>
      <c r="AC80" s="21"/>
      <c r="AD80" s="21"/>
      <c r="AE80" s="21"/>
      <c r="AF80" s="12"/>
    </row>
    <row r="81" spans="1:32" s="10" customFormat="1" ht="14.25" customHeight="1" x14ac:dyDescent="0.3">
      <c r="A81" s="51"/>
      <c r="B81" s="21"/>
      <c r="C81" s="4"/>
      <c r="D81" s="4"/>
      <c r="E81" s="4"/>
      <c r="F81" s="4"/>
      <c r="G81" s="4"/>
      <c r="H81" s="4"/>
      <c r="I81" s="4"/>
      <c r="J81" s="21"/>
      <c r="K81" s="21"/>
      <c r="L81" s="21"/>
      <c r="M81" s="21"/>
      <c r="N81" s="21"/>
      <c r="O81" s="21"/>
      <c r="P81" s="21"/>
      <c r="Q81" s="21"/>
      <c r="R81" s="21"/>
      <c r="S81" s="21"/>
      <c r="T81" s="20"/>
      <c r="U81" s="21"/>
      <c r="V81" s="4"/>
      <c r="W81" s="4"/>
      <c r="X81" s="4"/>
      <c r="Y81" s="20"/>
      <c r="Z81" s="20"/>
      <c r="AA81" s="4"/>
      <c r="AB81" s="20"/>
      <c r="AC81" s="21"/>
      <c r="AD81" s="21"/>
      <c r="AE81" s="21"/>
      <c r="AF81" s="12"/>
    </row>
    <row r="82" spans="1:32" ht="14.25" customHeight="1" x14ac:dyDescent="0.3">
      <c r="AF82" s="10"/>
    </row>
    <row r="83" spans="1:32" s="10" customFormat="1" ht="14.25" customHeight="1" x14ac:dyDescent="0.3">
      <c r="A83" s="51"/>
      <c r="B83" s="21"/>
      <c r="C83" s="4"/>
      <c r="D83" s="4"/>
      <c r="E83" s="4"/>
      <c r="F83" s="4"/>
      <c r="G83" s="4"/>
      <c r="H83" s="4"/>
      <c r="I83" s="4"/>
      <c r="J83" s="21"/>
      <c r="K83" s="21"/>
      <c r="L83" s="21"/>
      <c r="M83" s="21"/>
      <c r="N83" s="21"/>
      <c r="O83" s="21"/>
      <c r="P83" s="21"/>
      <c r="Q83" s="21"/>
      <c r="R83" s="21"/>
      <c r="S83" s="21"/>
      <c r="T83" s="20"/>
      <c r="U83" s="21"/>
      <c r="V83" s="4"/>
      <c r="W83" s="4"/>
      <c r="X83" s="4"/>
      <c r="Y83" s="20"/>
      <c r="Z83" s="20"/>
      <c r="AA83" s="4"/>
      <c r="AB83" s="20"/>
      <c r="AC83" s="21"/>
      <c r="AD83" s="21"/>
      <c r="AE83" s="21"/>
    </row>
    <row r="84" spans="1:32" s="10" customFormat="1" ht="14.25" customHeight="1" x14ac:dyDescent="0.3">
      <c r="A84" s="51"/>
      <c r="B84" s="21"/>
      <c r="C84" s="4"/>
      <c r="D84" s="4"/>
      <c r="E84" s="4"/>
      <c r="F84" s="4"/>
      <c r="G84" s="4"/>
      <c r="H84" s="4"/>
      <c r="I84" s="4"/>
      <c r="J84" s="21"/>
      <c r="K84" s="21"/>
      <c r="L84" s="21"/>
      <c r="M84" s="21"/>
      <c r="N84" s="21"/>
      <c r="O84" s="21"/>
      <c r="P84" s="21"/>
      <c r="Q84" s="21"/>
      <c r="R84" s="21"/>
      <c r="S84" s="21"/>
      <c r="T84" s="20"/>
      <c r="U84" s="21"/>
      <c r="V84" s="4"/>
      <c r="W84" s="4"/>
      <c r="X84" s="4"/>
      <c r="Y84" s="20"/>
      <c r="Z84" s="20"/>
      <c r="AA84" s="4"/>
      <c r="AB84" s="20"/>
      <c r="AC84" s="21"/>
      <c r="AD84" s="21"/>
      <c r="AE84" s="21"/>
    </row>
    <row r="85" spans="1:32" s="10" customFormat="1" ht="14.25" customHeight="1" x14ac:dyDescent="0.3">
      <c r="A85" s="51"/>
      <c r="B85" s="21"/>
      <c r="C85" s="4"/>
      <c r="D85" s="4"/>
      <c r="E85" s="4"/>
      <c r="F85" s="4"/>
      <c r="G85" s="4"/>
      <c r="H85" s="4"/>
      <c r="I85" s="4"/>
      <c r="J85" s="21"/>
      <c r="K85" s="21"/>
      <c r="L85" s="21"/>
      <c r="M85" s="21"/>
      <c r="N85" s="21"/>
      <c r="O85" s="21"/>
      <c r="P85" s="21"/>
      <c r="Q85" s="21"/>
      <c r="R85" s="21"/>
      <c r="S85" s="21"/>
      <c r="T85" s="20"/>
      <c r="U85" s="21"/>
      <c r="V85" s="4"/>
      <c r="W85" s="4"/>
      <c r="X85" s="4"/>
      <c r="Y85" s="20"/>
      <c r="Z85" s="20"/>
      <c r="AA85" s="4"/>
      <c r="AB85" s="20"/>
      <c r="AC85" s="21"/>
      <c r="AD85" s="21"/>
      <c r="AE85" s="21"/>
    </row>
    <row r="86" spans="1:32" s="10" customFormat="1" ht="14.25" customHeight="1" x14ac:dyDescent="0.3">
      <c r="A86" s="51"/>
      <c r="B86" s="21"/>
      <c r="C86" s="4"/>
      <c r="D86" s="4"/>
      <c r="E86" s="4"/>
      <c r="F86" s="4"/>
      <c r="G86" s="4"/>
      <c r="H86" s="4"/>
      <c r="I86" s="4"/>
      <c r="J86" s="21"/>
      <c r="K86" s="21"/>
      <c r="L86" s="21"/>
      <c r="M86" s="21"/>
      <c r="N86" s="21"/>
      <c r="O86" s="21"/>
      <c r="P86" s="21"/>
      <c r="Q86" s="21"/>
      <c r="R86" s="21"/>
      <c r="S86" s="21"/>
      <c r="T86" s="20"/>
      <c r="U86" s="21"/>
      <c r="V86" s="4"/>
      <c r="W86" s="4"/>
      <c r="X86" s="4"/>
      <c r="Y86" s="20"/>
      <c r="Z86" s="20"/>
      <c r="AA86" s="4"/>
      <c r="AB86" s="20"/>
      <c r="AC86" s="21"/>
      <c r="AD86" s="21"/>
      <c r="AE86" s="21"/>
      <c r="AF86" s="12"/>
    </row>
    <row r="87" spans="1:32" s="10" customFormat="1" ht="14.25" customHeight="1" x14ac:dyDescent="0.3">
      <c r="A87" s="51"/>
      <c r="B87" s="21"/>
      <c r="C87" s="4"/>
      <c r="D87" s="4"/>
      <c r="E87" s="4"/>
      <c r="F87" s="4"/>
      <c r="G87" s="4"/>
      <c r="H87" s="4"/>
      <c r="I87" s="4"/>
      <c r="J87" s="21"/>
      <c r="K87" s="21"/>
      <c r="L87" s="21"/>
      <c r="M87" s="21"/>
      <c r="N87" s="21"/>
      <c r="O87" s="21"/>
      <c r="P87" s="21"/>
      <c r="Q87" s="21"/>
      <c r="R87" s="21"/>
      <c r="S87" s="21"/>
      <c r="T87" s="20"/>
      <c r="U87" s="21"/>
      <c r="V87" s="4"/>
      <c r="W87" s="4"/>
      <c r="X87" s="4"/>
      <c r="Y87" s="20"/>
      <c r="Z87" s="20"/>
      <c r="AA87" s="4"/>
      <c r="AB87" s="20"/>
      <c r="AC87" s="21"/>
      <c r="AD87" s="21"/>
      <c r="AE87" s="21"/>
    </row>
    <row r="88" spans="1:32" s="10" customFormat="1" ht="14.25" customHeight="1" x14ac:dyDescent="0.3">
      <c r="A88" s="51"/>
      <c r="B88" s="21"/>
      <c r="C88" s="4"/>
      <c r="D88" s="4"/>
      <c r="E88" s="4"/>
      <c r="F88" s="4"/>
      <c r="G88" s="4"/>
      <c r="H88" s="4"/>
      <c r="I88" s="4"/>
      <c r="J88" s="21"/>
      <c r="K88" s="21"/>
      <c r="L88" s="21"/>
      <c r="M88" s="21"/>
      <c r="N88" s="21"/>
      <c r="O88" s="21"/>
      <c r="P88" s="21"/>
      <c r="Q88" s="21"/>
      <c r="R88" s="21"/>
      <c r="S88" s="21"/>
      <c r="T88" s="20"/>
      <c r="U88" s="21"/>
      <c r="V88" s="4"/>
      <c r="W88" s="4"/>
      <c r="X88" s="4"/>
      <c r="Y88" s="20"/>
      <c r="Z88" s="20"/>
      <c r="AA88" s="4"/>
      <c r="AB88" s="20"/>
      <c r="AC88" s="21"/>
      <c r="AD88" s="21"/>
      <c r="AE88" s="21"/>
    </row>
    <row r="89" spans="1:32" s="10" customFormat="1" ht="14.25" customHeight="1" x14ac:dyDescent="0.3">
      <c r="A89" s="51"/>
      <c r="B89" s="21"/>
      <c r="C89" s="4"/>
      <c r="D89" s="4"/>
      <c r="E89" s="4"/>
      <c r="F89" s="4"/>
      <c r="G89" s="4"/>
      <c r="H89" s="4"/>
      <c r="I89" s="4"/>
      <c r="J89" s="21"/>
      <c r="K89" s="21"/>
      <c r="L89" s="21"/>
      <c r="M89" s="21"/>
      <c r="N89" s="21"/>
      <c r="O89" s="21"/>
      <c r="P89" s="21"/>
      <c r="Q89" s="21"/>
      <c r="R89" s="21"/>
      <c r="S89" s="21"/>
      <c r="T89" s="20"/>
      <c r="U89" s="21"/>
      <c r="V89" s="4"/>
      <c r="W89" s="4"/>
      <c r="X89" s="4"/>
      <c r="Y89" s="20"/>
      <c r="Z89" s="20"/>
      <c r="AA89" s="4"/>
      <c r="AB89" s="20"/>
      <c r="AC89" s="21"/>
      <c r="AD89" s="21"/>
      <c r="AE89" s="21"/>
    </row>
    <row r="90" spans="1:32" s="10" customFormat="1" ht="14.25" customHeight="1" x14ac:dyDescent="0.3">
      <c r="A90" s="51"/>
      <c r="B90" s="21"/>
      <c r="C90" s="4"/>
      <c r="D90" s="4"/>
      <c r="E90" s="4"/>
      <c r="F90" s="4"/>
      <c r="G90" s="4"/>
      <c r="H90" s="4"/>
      <c r="I90" s="4"/>
      <c r="J90" s="21"/>
      <c r="K90" s="21"/>
      <c r="L90" s="21"/>
      <c r="M90" s="21"/>
      <c r="N90" s="21"/>
      <c r="O90" s="21"/>
      <c r="P90" s="21"/>
      <c r="Q90" s="21"/>
      <c r="R90" s="21"/>
      <c r="S90" s="21"/>
      <c r="T90" s="20"/>
      <c r="U90" s="21"/>
      <c r="V90" s="4"/>
      <c r="W90" s="4"/>
      <c r="X90" s="4"/>
      <c r="Y90" s="20"/>
      <c r="Z90" s="20"/>
      <c r="AA90" s="4"/>
      <c r="AB90" s="20"/>
      <c r="AC90" s="21"/>
      <c r="AD90" s="21"/>
      <c r="AE90" s="21"/>
    </row>
    <row r="91" spans="1:32" s="10" customFormat="1" ht="14.25" customHeight="1" x14ac:dyDescent="0.3">
      <c r="A91" s="51"/>
      <c r="B91" s="21"/>
      <c r="C91" s="4"/>
      <c r="D91" s="4"/>
      <c r="E91" s="4"/>
      <c r="F91" s="4"/>
      <c r="G91" s="4"/>
      <c r="H91" s="4"/>
      <c r="I91" s="4"/>
      <c r="J91" s="21"/>
      <c r="K91" s="21"/>
      <c r="L91" s="21"/>
      <c r="M91" s="21"/>
      <c r="N91" s="21"/>
      <c r="O91" s="21"/>
      <c r="P91" s="21"/>
      <c r="Q91" s="21"/>
      <c r="R91" s="21"/>
      <c r="S91" s="21"/>
      <c r="T91" s="20"/>
      <c r="U91" s="21"/>
      <c r="V91" s="4"/>
      <c r="W91" s="4"/>
      <c r="X91" s="4"/>
      <c r="Y91" s="20"/>
      <c r="Z91" s="20"/>
      <c r="AA91" s="4"/>
      <c r="AB91" s="20"/>
      <c r="AC91" s="21"/>
      <c r="AD91" s="21"/>
      <c r="AE91" s="21"/>
    </row>
    <row r="92" spans="1:32" s="10" customFormat="1" ht="14.25" customHeight="1" x14ac:dyDescent="0.3">
      <c r="A92" s="51"/>
      <c r="B92" s="21"/>
      <c r="C92" s="4"/>
      <c r="D92" s="4"/>
      <c r="E92" s="4"/>
      <c r="F92" s="4"/>
      <c r="G92" s="4"/>
      <c r="H92" s="4"/>
      <c r="I92" s="4"/>
      <c r="J92" s="21"/>
      <c r="K92" s="21"/>
      <c r="L92" s="21"/>
      <c r="M92" s="21"/>
      <c r="N92" s="21"/>
      <c r="O92" s="21"/>
      <c r="P92" s="21"/>
      <c r="Q92" s="21"/>
      <c r="R92" s="21"/>
      <c r="S92" s="21"/>
      <c r="T92" s="20"/>
      <c r="U92" s="21"/>
      <c r="V92" s="4"/>
      <c r="W92" s="4"/>
      <c r="X92" s="4"/>
      <c r="Y92" s="20"/>
      <c r="Z92" s="20"/>
      <c r="AA92" s="4"/>
      <c r="AB92" s="20"/>
      <c r="AC92" s="21"/>
      <c r="AD92" s="21"/>
      <c r="AE92" s="21"/>
    </row>
    <row r="93" spans="1:32" s="10" customFormat="1" ht="14.25" customHeight="1" x14ac:dyDescent="0.3">
      <c r="A93" s="51"/>
      <c r="B93" s="21"/>
      <c r="C93" s="4"/>
      <c r="D93" s="4"/>
      <c r="E93" s="4"/>
      <c r="F93" s="4"/>
      <c r="G93" s="4"/>
      <c r="H93" s="4"/>
      <c r="I93" s="4"/>
      <c r="J93" s="21"/>
      <c r="K93" s="21"/>
      <c r="L93" s="21"/>
      <c r="M93" s="21"/>
      <c r="N93" s="21"/>
      <c r="O93" s="21"/>
      <c r="P93" s="21"/>
      <c r="Q93" s="21"/>
      <c r="R93" s="21"/>
      <c r="S93" s="21"/>
      <c r="T93" s="20"/>
      <c r="U93" s="21"/>
      <c r="V93" s="4"/>
      <c r="W93" s="4"/>
      <c r="X93" s="4"/>
      <c r="Y93" s="20"/>
      <c r="Z93" s="20"/>
      <c r="AA93" s="4"/>
      <c r="AB93" s="20"/>
      <c r="AC93" s="21"/>
      <c r="AD93" s="21"/>
      <c r="AE93" s="21"/>
    </row>
    <row r="94" spans="1:32" s="10" customFormat="1" ht="14.25" customHeight="1" x14ac:dyDescent="0.3">
      <c r="A94" s="51"/>
      <c r="B94" s="21"/>
      <c r="C94" s="4"/>
      <c r="D94" s="4"/>
      <c r="E94" s="4"/>
      <c r="F94" s="4"/>
      <c r="G94" s="4"/>
      <c r="H94" s="4"/>
      <c r="I94" s="4"/>
      <c r="J94" s="21"/>
      <c r="K94" s="21"/>
      <c r="L94" s="21"/>
      <c r="M94" s="21"/>
      <c r="N94" s="21"/>
      <c r="O94" s="21"/>
      <c r="P94" s="21"/>
      <c r="Q94" s="21"/>
      <c r="R94" s="21"/>
      <c r="S94" s="21"/>
      <c r="T94" s="20"/>
      <c r="U94" s="21"/>
      <c r="V94" s="4"/>
      <c r="W94" s="4"/>
      <c r="X94" s="4"/>
      <c r="Y94" s="20"/>
      <c r="Z94" s="20"/>
      <c r="AA94" s="4"/>
      <c r="AB94" s="20"/>
      <c r="AC94" s="21"/>
      <c r="AD94" s="21"/>
      <c r="AE94" s="21"/>
    </row>
    <row r="95" spans="1:32" s="10" customFormat="1" ht="14.25" customHeight="1" x14ac:dyDescent="0.3">
      <c r="A95" s="51"/>
      <c r="B95" s="21"/>
      <c r="C95" s="4"/>
      <c r="D95" s="4"/>
      <c r="E95" s="4"/>
      <c r="F95" s="4"/>
      <c r="G95" s="4"/>
      <c r="H95" s="4"/>
      <c r="I95" s="4"/>
      <c r="J95" s="21"/>
      <c r="K95" s="21"/>
      <c r="L95" s="21"/>
      <c r="M95" s="21"/>
      <c r="N95" s="21"/>
      <c r="O95" s="21"/>
      <c r="P95" s="21"/>
      <c r="Q95" s="21"/>
      <c r="R95" s="21"/>
      <c r="S95" s="21"/>
      <c r="T95" s="20"/>
      <c r="U95" s="21"/>
      <c r="V95" s="4"/>
      <c r="W95" s="4"/>
      <c r="X95" s="4"/>
      <c r="Y95" s="20"/>
      <c r="Z95" s="20"/>
      <c r="AA95" s="4"/>
      <c r="AB95" s="20"/>
      <c r="AC95" s="21"/>
      <c r="AD95" s="21"/>
      <c r="AE95" s="21"/>
    </row>
    <row r="96" spans="1:32" s="10" customFormat="1" ht="14.25" customHeight="1" x14ac:dyDescent="0.3">
      <c r="A96" s="51"/>
      <c r="B96" s="21"/>
      <c r="C96" s="4"/>
      <c r="D96" s="4"/>
      <c r="E96" s="4"/>
      <c r="F96" s="4"/>
      <c r="G96" s="4"/>
      <c r="H96" s="4"/>
      <c r="I96" s="4"/>
      <c r="J96" s="21"/>
      <c r="K96" s="21"/>
      <c r="L96" s="21"/>
      <c r="M96" s="21"/>
      <c r="N96" s="21"/>
      <c r="O96" s="21"/>
      <c r="P96" s="21"/>
      <c r="Q96" s="21"/>
      <c r="R96" s="21"/>
      <c r="S96" s="21"/>
      <c r="T96" s="20"/>
      <c r="U96" s="21"/>
      <c r="V96" s="4"/>
      <c r="W96" s="4"/>
      <c r="X96" s="4"/>
      <c r="Y96" s="20"/>
      <c r="Z96" s="20"/>
      <c r="AA96" s="4"/>
      <c r="AB96" s="20"/>
      <c r="AC96" s="21"/>
      <c r="AD96" s="21"/>
      <c r="AE96" s="21"/>
    </row>
    <row r="97" spans="1:32" s="10" customFormat="1" ht="14.25" customHeight="1" x14ac:dyDescent="0.3">
      <c r="A97" s="51"/>
      <c r="B97" s="21"/>
      <c r="C97" s="4"/>
      <c r="D97" s="4"/>
      <c r="E97" s="4"/>
      <c r="F97" s="4"/>
      <c r="G97" s="4"/>
      <c r="H97" s="4"/>
      <c r="I97" s="4"/>
      <c r="J97" s="21"/>
      <c r="K97" s="21"/>
      <c r="L97" s="21"/>
      <c r="M97" s="21"/>
      <c r="N97" s="21"/>
      <c r="O97" s="21"/>
      <c r="P97" s="21"/>
      <c r="Q97" s="21"/>
      <c r="R97" s="21"/>
      <c r="S97" s="21"/>
      <c r="T97" s="20"/>
      <c r="U97" s="21"/>
      <c r="V97" s="4"/>
      <c r="W97" s="4"/>
      <c r="X97" s="4"/>
      <c r="Y97" s="20"/>
      <c r="Z97" s="20"/>
      <c r="AA97" s="4"/>
      <c r="AB97" s="20"/>
      <c r="AC97" s="21"/>
      <c r="AD97" s="21"/>
      <c r="AE97" s="21"/>
    </row>
    <row r="98" spans="1:32" s="10" customFormat="1" ht="14.25" customHeight="1" x14ac:dyDescent="0.3">
      <c r="A98" s="51"/>
      <c r="B98" s="21"/>
      <c r="C98" s="4"/>
      <c r="D98" s="4"/>
      <c r="E98" s="4"/>
      <c r="F98" s="4"/>
      <c r="G98" s="4"/>
      <c r="H98" s="4"/>
      <c r="I98" s="4"/>
      <c r="J98" s="21"/>
      <c r="K98" s="21"/>
      <c r="L98" s="21"/>
      <c r="M98" s="21"/>
      <c r="N98" s="21"/>
      <c r="O98" s="21"/>
      <c r="P98" s="21"/>
      <c r="Q98" s="21"/>
      <c r="R98" s="21"/>
      <c r="S98" s="21"/>
      <c r="T98" s="20"/>
      <c r="U98" s="21"/>
      <c r="V98" s="4"/>
      <c r="W98" s="4"/>
      <c r="X98" s="4"/>
      <c r="Y98" s="20"/>
      <c r="Z98" s="20"/>
      <c r="AA98" s="4"/>
      <c r="AB98" s="20"/>
      <c r="AC98" s="21"/>
      <c r="AD98" s="21"/>
      <c r="AE98" s="21"/>
    </row>
    <row r="99" spans="1:32" s="10" customFormat="1" ht="14.25" customHeight="1" x14ac:dyDescent="0.3">
      <c r="A99" s="51"/>
      <c r="B99" s="21"/>
      <c r="C99" s="4"/>
      <c r="D99" s="4"/>
      <c r="E99" s="4"/>
      <c r="F99" s="4"/>
      <c r="G99" s="4"/>
      <c r="H99" s="4"/>
      <c r="I99" s="4"/>
      <c r="J99" s="21"/>
      <c r="K99" s="21"/>
      <c r="L99" s="21"/>
      <c r="M99" s="21"/>
      <c r="N99" s="21"/>
      <c r="O99" s="21"/>
      <c r="P99" s="21"/>
      <c r="Q99" s="21"/>
      <c r="R99" s="21"/>
      <c r="S99" s="21"/>
      <c r="T99" s="20"/>
      <c r="U99" s="21"/>
      <c r="V99" s="4"/>
      <c r="W99" s="4"/>
      <c r="X99" s="4"/>
      <c r="Y99" s="20"/>
      <c r="Z99" s="20"/>
      <c r="AA99" s="4"/>
      <c r="AB99" s="20"/>
      <c r="AC99" s="21"/>
      <c r="AD99" s="21"/>
      <c r="AE99" s="21"/>
    </row>
    <row r="100" spans="1:32" s="10" customFormat="1" ht="14.25" customHeight="1" x14ac:dyDescent="0.3">
      <c r="A100" s="51"/>
      <c r="B100" s="21"/>
      <c r="C100" s="4"/>
      <c r="D100" s="4"/>
      <c r="E100" s="4"/>
      <c r="F100" s="4"/>
      <c r="G100" s="4"/>
      <c r="H100" s="4"/>
      <c r="I100" s="4"/>
      <c r="J100" s="21"/>
      <c r="K100" s="21"/>
      <c r="L100" s="21"/>
      <c r="M100" s="21"/>
      <c r="N100" s="21"/>
      <c r="O100" s="21"/>
      <c r="P100" s="21"/>
      <c r="Q100" s="21"/>
      <c r="R100" s="21"/>
      <c r="S100" s="21"/>
      <c r="T100" s="20"/>
      <c r="U100" s="21"/>
      <c r="V100" s="4"/>
      <c r="W100" s="4"/>
      <c r="X100" s="4"/>
      <c r="Y100" s="20"/>
      <c r="Z100" s="20"/>
      <c r="AA100" s="4"/>
      <c r="AB100" s="20"/>
      <c r="AC100" s="21"/>
      <c r="AD100" s="21"/>
      <c r="AE100" s="21"/>
    </row>
    <row r="101" spans="1:32" s="10" customFormat="1" ht="14.25" customHeight="1" x14ac:dyDescent="0.3">
      <c r="A101" s="51"/>
      <c r="B101" s="21"/>
      <c r="C101" s="4"/>
      <c r="D101" s="4"/>
      <c r="E101" s="4"/>
      <c r="F101" s="4"/>
      <c r="G101" s="4"/>
      <c r="H101" s="4"/>
      <c r="I101" s="4"/>
      <c r="J101" s="21"/>
      <c r="K101" s="21"/>
      <c r="L101" s="21"/>
      <c r="M101" s="21"/>
      <c r="N101" s="21"/>
      <c r="O101" s="21"/>
      <c r="P101" s="21"/>
      <c r="Q101" s="21"/>
      <c r="R101" s="21"/>
      <c r="S101" s="21"/>
      <c r="T101" s="20"/>
      <c r="U101" s="21"/>
      <c r="V101" s="4"/>
      <c r="W101" s="4"/>
      <c r="X101" s="4"/>
      <c r="Y101" s="20"/>
      <c r="Z101" s="20"/>
      <c r="AA101" s="4"/>
      <c r="AB101" s="20"/>
      <c r="AC101" s="21"/>
      <c r="AD101" s="21"/>
      <c r="AE101" s="21"/>
    </row>
    <row r="102" spans="1:32" ht="14.25" customHeight="1" x14ac:dyDescent="0.3">
      <c r="AF102" s="10"/>
    </row>
    <row r="103" spans="1:32" s="10" customFormat="1" ht="14.25" customHeight="1" x14ac:dyDescent="0.3">
      <c r="A103" s="51"/>
      <c r="B103" s="21"/>
      <c r="C103" s="4"/>
      <c r="D103" s="4"/>
      <c r="E103" s="4"/>
      <c r="F103" s="4"/>
      <c r="G103" s="4"/>
      <c r="H103" s="4"/>
      <c r="I103" s="4"/>
      <c r="J103" s="21"/>
      <c r="K103" s="21"/>
      <c r="L103" s="21"/>
      <c r="M103" s="21"/>
      <c r="N103" s="21"/>
      <c r="O103" s="21"/>
      <c r="P103" s="21"/>
      <c r="Q103" s="21"/>
      <c r="R103" s="21"/>
      <c r="S103" s="21"/>
      <c r="T103" s="20"/>
      <c r="U103" s="21"/>
      <c r="V103" s="4"/>
      <c r="W103" s="4"/>
      <c r="X103" s="4"/>
      <c r="Y103" s="20"/>
      <c r="Z103" s="20"/>
      <c r="AA103" s="4"/>
      <c r="AB103" s="20"/>
      <c r="AC103" s="21"/>
      <c r="AD103" s="21"/>
      <c r="AE103" s="21"/>
    </row>
    <row r="104" spans="1:32" s="10" customFormat="1" ht="14.25" customHeight="1" x14ac:dyDescent="0.3">
      <c r="A104" s="51"/>
      <c r="B104" s="21"/>
      <c r="C104" s="4"/>
      <c r="D104" s="4"/>
      <c r="E104" s="4"/>
      <c r="F104" s="4"/>
      <c r="G104" s="4"/>
      <c r="H104" s="4"/>
      <c r="I104" s="4"/>
      <c r="J104" s="21"/>
      <c r="K104" s="21"/>
      <c r="L104" s="21"/>
      <c r="M104" s="21"/>
      <c r="N104" s="21"/>
      <c r="O104" s="21"/>
      <c r="P104" s="21"/>
      <c r="Q104" s="21"/>
      <c r="R104" s="21"/>
      <c r="S104" s="21"/>
      <c r="T104" s="20"/>
      <c r="U104" s="21"/>
      <c r="V104" s="4"/>
      <c r="W104" s="4"/>
      <c r="X104" s="4"/>
      <c r="Y104" s="20"/>
      <c r="Z104" s="20"/>
      <c r="AA104" s="4"/>
      <c r="AB104" s="20"/>
      <c r="AC104" s="21"/>
      <c r="AD104" s="21"/>
      <c r="AE104" s="21"/>
    </row>
    <row r="105" spans="1:32" s="10" customFormat="1" ht="14.25" customHeight="1" x14ac:dyDescent="0.3">
      <c r="A105" s="51"/>
      <c r="B105" s="21"/>
      <c r="C105" s="4"/>
      <c r="D105" s="4"/>
      <c r="E105" s="4"/>
      <c r="F105" s="4"/>
      <c r="G105" s="4"/>
      <c r="H105" s="4"/>
      <c r="I105" s="4"/>
      <c r="J105" s="21"/>
      <c r="K105" s="21"/>
      <c r="L105" s="21"/>
      <c r="M105" s="21"/>
      <c r="N105" s="21"/>
      <c r="O105" s="21"/>
      <c r="P105" s="21"/>
      <c r="Q105" s="21"/>
      <c r="R105" s="21"/>
      <c r="S105" s="21"/>
      <c r="T105" s="20"/>
      <c r="U105" s="21"/>
      <c r="V105" s="4"/>
      <c r="W105" s="4"/>
      <c r="X105" s="4"/>
      <c r="Y105" s="20"/>
      <c r="Z105" s="20"/>
      <c r="AA105" s="4"/>
      <c r="AB105" s="20"/>
      <c r="AC105" s="21"/>
      <c r="AD105" s="21"/>
      <c r="AE105" s="21"/>
    </row>
    <row r="106" spans="1:32" s="10" customFormat="1" ht="14.25" customHeight="1" x14ac:dyDescent="0.3">
      <c r="A106" s="51"/>
      <c r="B106" s="21"/>
      <c r="C106" s="4"/>
      <c r="D106" s="4"/>
      <c r="E106" s="4"/>
      <c r="F106" s="4"/>
      <c r="G106" s="4"/>
      <c r="H106" s="4"/>
      <c r="I106" s="4"/>
      <c r="J106" s="21"/>
      <c r="K106" s="21"/>
      <c r="L106" s="21"/>
      <c r="M106" s="21"/>
      <c r="N106" s="21"/>
      <c r="O106" s="21"/>
      <c r="P106" s="21"/>
      <c r="Q106" s="21"/>
      <c r="R106" s="21"/>
      <c r="S106" s="21"/>
      <c r="T106" s="20"/>
      <c r="U106" s="21"/>
      <c r="V106" s="4"/>
      <c r="W106" s="4"/>
      <c r="X106" s="4"/>
      <c r="Y106" s="20"/>
      <c r="Z106" s="20"/>
      <c r="AA106" s="4"/>
      <c r="AB106" s="20"/>
      <c r="AC106" s="21"/>
      <c r="AD106" s="21"/>
      <c r="AE106" s="21"/>
      <c r="AF106" s="12"/>
    </row>
    <row r="107" spans="1:32" s="10" customFormat="1" ht="14.25" customHeight="1" x14ac:dyDescent="0.3">
      <c r="A107" s="51"/>
      <c r="B107" s="21"/>
      <c r="C107" s="4"/>
      <c r="D107" s="4"/>
      <c r="E107" s="4"/>
      <c r="F107" s="4"/>
      <c r="G107" s="4"/>
      <c r="H107" s="4"/>
      <c r="I107" s="4"/>
      <c r="J107" s="21"/>
      <c r="K107" s="21"/>
      <c r="L107" s="21"/>
      <c r="M107" s="21"/>
      <c r="N107" s="21"/>
      <c r="O107" s="21"/>
      <c r="P107" s="21"/>
      <c r="Q107" s="21"/>
      <c r="R107" s="21"/>
      <c r="S107" s="21"/>
      <c r="T107" s="20"/>
      <c r="U107" s="21"/>
      <c r="V107" s="4"/>
      <c r="W107" s="4"/>
      <c r="X107" s="4"/>
      <c r="Y107" s="20"/>
      <c r="Z107" s="20"/>
      <c r="AA107" s="4"/>
      <c r="AB107" s="20"/>
      <c r="AC107" s="21"/>
      <c r="AD107" s="21"/>
      <c r="AE107" s="21"/>
    </row>
    <row r="108" spans="1:32" s="10" customFormat="1" ht="14.25" customHeight="1" x14ac:dyDescent="0.3">
      <c r="A108" s="51"/>
      <c r="B108" s="21"/>
      <c r="C108" s="4"/>
      <c r="D108" s="4"/>
      <c r="E108" s="4"/>
      <c r="F108" s="4"/>
      <c r="G108" s="4"/>
      <c r="H108" s="4"/>
      <c r="I108" s="4"/>
      <c r="J108" s="21"/>
      <c r="K108" s="21"/>
      <c r="L108" s="21"/>
      <c r="M108" s="21"/>
      <c r="N108" s="21"/>
      <c r="O108" s="21"/>
      <c r="P108" s="21"/>
      <c r="Q108" s="21"/>
      <c r="R108" s="21"/>
      <c r="S108" s="21"/>
      <c r="T108" s="20"/>
      <c r="U108" s="21"/>
      <c r="V108" s="4"/>
      <c r="W108" s="4"/>
      <c r="X108" s="4"/>
      <c r="Y108" s="20"/>
      <c r="Z108" s="20"/>
      <c r="AA108" s="4"/>
      <c r="AB108" s="20"/>
      <c r="AC108" s="21"/>
      <c r="AD108" s="21"/>
      <c r="AE108" s="21"/>
    </row>
    <row r="109" spans="1:32" s="10" customFormat="1" ht="14.25" customHeight="1" x14ac:dyDescent="0.3">
      <c r="A109" s="51"/>
      <c r="B109" s="21"/>
      <c r="C109" s="4"/>
      <c r="D109" s="4"/>
      <c r="E109" s="4"/>
      <c r="F109" s="4"/>
      <c r="G109" s="4"/>
      <c r="H109" s="4"/>
      <c r="I109" s="4"/>
      <c r="J109" s="21"/>
      <c r="K109" s="21"/>
      <c r="L109" s="21"/>
      <c r="M109" s="21"/>
      <c r="N109" s="21"/>
      <c r="O109" s="21"/>
      <c r="P109" s="21"/>
      <c r="Q109" s="21"/>
      <c r="R109" s="21"/>
      <c r="S109" s="21"/>
      <c r="T109" s="20"/>
      <c r="U109" s="21"/>
      <c r="V109" s="4"/>
      <c r="W109" s="4"/>
      <c r="X109" s="4"/>
      <c r="Y109" s="20"/>
      <c r="Z109" s="20"/>
      <c r="AA109" s="4"/>
      <c r="AB109" s="20"/>
      <c r="AC109" s="21"/>
      <c r="AD109" s="21"/>
      <c r="AE109" s="21"/>
    </row>
    <row r="110" spans="1:32" s="10" customFormat="1" ht="14.25" customHeight="1" x14ac:dyDescent="0.3">
      <c r="A110" s="51"/>
      <c r="B110" s="21"/>
      <c r="C110" s="4"/>
      <c r="D110" s="4"/>
      <c r="E110" s="4"/>
      <c r="F110" s="4"/>
      <c r="G110" s="4"/>
      <c r="H110" s="4"/>
      <c r="I110" s="4"/>
      <c r="J110" s="21"/>
      <c r="K110" s="21"/>
      <c r="L110" s="21"/>
      <c r="M110" s="21"/>
      <c r="N110" s="21"/>
      <c r="O110" s="21"/>
      <c r="P110" s="21"/>
      <c r="Q110" s="21"/>
      <c r="R110" s="21"/>
      <c r="S110" s="21"/>
      <c r="T110" s="20"/>
      <c r="U110" s="21"/>
      <c r="V110" s="4"/>
      <c r="W110" s="4"/>
      <c r="X110" s="4"/>
      <c r="Y110" s="20"/>
      <c r="Z110" s="20"/>
      <c r="AA110" s="4"/>
      <c r="AB110" s="20"/>
      <c r="AC110" s="21"/>
      <c r="AD110" s="21"/>
      <c r="AE110" s="21"/>
    </row>
    <row r="111" spans="1:32" s="10" customFormat="1" ht="14.25" customHeight="1" x14ac:dyDescent="0.3">
      <c r="A111" s="51"/>
      <c r="B111" s="21"/>
      <c r="C111" s="4"/>
      <c r="D111" s="4"/>
      <c r="E111" s="4"/>
      <c r="F111" s="4"/>
      <c r="G111" s="4"/>
      <c r="H111" s="4"/>
      <c r="I111" s="4"/>
      <c r="J111" s="21"/>
      <c r="K111" s="21"/>
      <c r="L111" s="21"/>
      <c r="M111" s="21"/>
      <c r="N111" s="21"/>
      <c r="O111" s="21"/>
      <c r="P111" s="21"/>
      <c r="Q111" s="21"/>
      <c r="R111" s="21"/>
      <c r="S111" s="21"/>
      <c r="T111" s="20"/>
      <c r="U111" s="21"/>
      <c r="V111" s="4"/>
      <c r="W111" s="4"/>
      <c r="X111" s="4"/>
      <c r="Y111" s="20"/>
      <c r="Z111" s="20"/>
      <c r="AA111" s="4"/>
      <c r="AB111" s="20"/>
      <c r="AC111" s="21"/>
      <c r="AD111" s="21"/>
      <c r="AE111" s="21"/>
    </row>
    <row r="112" spans="1:32" s="10" customFormat="1" ht="14.25" customHeight="1" x14ac:dyDescent="0.3">
      <c r="A112" s="51"/>
      <c r="B112" s="21"/>
      <c r="C112" s="4"/>
      <c r="D112" s="4"/>
      <c r="E112" s="4"/>
      <c r="F112" s="4"/>
      <c r="G112" s="4"/>
      <c r="H112" s="4"/>
      <c r="I112" s="4"/>
      <c r="J112" s="21"/>
      <c r="K112" s="21"/>
      <c r="L112" s="21"/>
      <c r="M112" s="21"/>
      <c r="N112" s="21"/>
      <c r="O112" s="21"/>
      <c r="P112" s="21"/>
      <c r="Q112" s="21"/>
      <c r="R112" s="21"/>
      <c r="S112" s="21"/>
      <c r="T112" s="20"/>
      <c r="U112" s="21"/>
      <c r="V112" s="4"/>
      <c r="W112" s="4"/>
      <c r="X112" s="4"/>
      <c r="Y112" s="20"/>
      <c r="Z112" s="20"/>
      <c r="AA112" s="4"/>
      <c r="AB112" s="20"/>
      <c r="AC112" s="21"/>
      <c r="AD112" s="21"/>
      <c r="AE112" s="21"/>
    </row>
    <row r="113" spans="1:32" s="10" customFormat="1" ht="14.25" customHeight="1" x14ac:dyDescent="0.3">
      <c r="A113" s="51"/>
      <c r="B113" s="21"/>
      <c r="C113" s="4"/>
      <c r="D113" s="4"/>
      <c r="E113" s="4"/>
      <c r="F113" s="4"/>
      <c r="G113" s="4"/>
      <c r="H113" s="4"/>
      <c r="I113" s="4"/>
      <c r="J113" s="21"/>
      <c r="K113" s="21"/>
      <c r="L113" s="21"/>
      <c r="M113" s="21"/>
      <c r="N113" s="21"/>
      <c r="O113" s="21"/>
      <c r="P113" s="21"/>
      <c r="Q113" s="21"/>
      <c r="R113" s="21"/>
      <c r="S113" s="21"/>
      <c r="T113" s="20"/>
      <c r="U113" s="21"/>
      <c r="V113" s="4"/>
      <c r="W113" s="4"/>
      <c r="X113" s="4"/>
      <c r="Y113" s="20"/>
      <c r="Z113" s="20"/>
      <c r="AA113" s="4"/>
      <c r="AB113" s="20"/>
      <c r="AC113" s="21"/>
      <c r="AD113" s="21"/>
      <c r="AE113" s="21"/>
    </row>
    <row r="114" spans="1:32" s="10" customFormat="1" ht="14.25" customHeight="1" x14ac:dyDescent="0.3">
      <c r="A114" s="51"/>
      <c r="B114" s="21"/>
      <c r="C114" s="4"/>
      <c r="D114" s="4"/>
      <c r="E114" s="4"/>
      <c r="F114" s="4"/>
      <c r="G114" s="4"/>
      <c r="H114" s="4"/>
      <c r="I114" s="4"/>
      <c r="J114" s="21"/>
      <c r="K114" s="21"/>
      <c r="L114" s="21"/>
      <c r="M114" s="21"/>
      <c r="N114" s="21"/>
      <c r="O114" s="21"/>
      <c r="P114" s="21"/>
      <c r="Q114" s="21"/>
      <c r="R114" s="21"/>
      <c r="S114" s="21"/>
      <c r="T114" s="20"/>
      <c r="U114" s="21"/>
      <c r="V114" s="4"/>
      <c r="W114" s="4"/>
      <c r="X114" s="4"/>
      <c r="Y114" s="20"/>
      <c r="Z114" s="20"/>
      <c r="AA114" s="4"/>
      <c r="AB114" s="20"/>
      <c r="AC114" s="21"/>
      <c r="AD114" s="21"/>
      <c r="AE114" s="21"/>
    </row>
    <row r="115" spans="1:32" s="10" customFormat="1" ht="14.25" customHeight="1" x14ac:dyDescent="0.3">
      <c r="A115" s="51"/>
      <c r="B115" s="21"/>
      <c r="C115" s="4"/>
      <c r="D115" s="4"/>
      <c r="E115" s="4"/>
      <c r="F115" s="4"/>
      <c r="G115" s="4"/>
      <c r="H115" s="4"/>
      <c r="I115" s="4"/>
      <c r="J115" s="21"/>
      <c r="K115" s="21"/>
      <c r="L115" s="21"/>
      <c r="M115" s="21"/>
      <c r="N115" s="21"/>
      <c r="O115" s="21"/>
      <c r="P115" s="21"/>
      <c r="Q115" s="21"/>
      <c r="R115" s="21"/>
      <c r="S115" s="21"/>
      <c r="T115" s="20"/>
      <c r="U115" s="21"/>
      <c r="V115" s="4"/>
      <c r="W115" s="4"/>
      <c r="X115" s="4"/>
      <c r="Y115" s="20"/>
      <c r="Z115" s="20"/>
      <c r="AA115" s="4"/>
      <c r="AB115" s="20"/>
      <c r="AC115" s="21"/>
      <c r="AD115" s="21"/>
      <c r="AE115" s="21"/>
    </row>
    <row r="116" spans="1:32" s="10" customFormat="1" ht="14.25" customHeight="1" x14ac:dyDescent="0.3">
      <c r="A116" s="51"/>
      <c r="B116" s="21"/>
      <c r="C116" s="4"/>
      <c r="D116" s="4"/>
      <c r="E116" s="4"/>
      <c r="F116" s="4"/>
      <c r="G116" s="4"/>
      <c r="H116" s="4"/>
      <c r="I116" s="4"/>
      <c r="J116" s="21"/>
      <c r="K116" s="21"/>
      <c r="L116" s="21"/>
      <c r="M116" s="21"/>
      <c r="N116" s="21"/>
      <c r="O116" s="21"/>
      <c r="P116" s="21"/>
      <c r="Q116" s="21"/>
      <c r="R116" s="21"/>
      <c r="S116" s="21"/>
      <c r="T116" s="20"/>
      <c r="U116" s="21"/>
      <c r="V116" s="4"/>
      <c r="W116" s="4"/>
      <c r="X116" s="4"/>
      <c r="Y116" s="20"/>
      <c r="Z116" s="20"/>
      <c r="AA116" s="4"/>
      <c r="AB116" s="20"/>
      <c r="AC116" s="21"/>
      <c r="AD116" s="21"/>
      <c r="AE116" s="21"/>
    </row>
    <row r="117" spans="1:32" s="10" customFormat="1" ht="14.25" customHeight="1" x14ac:dyDescent="0.3">
      <c r="A117" s="51"/>
      <c r="B117" s="21"/>
      <c r="C117" s="4"/>
      <c r="D117" s="4"/>
      <c r="E117" s="4"/>
      <c r="F117" s="4"/>
      <c r="G117" s="4"/>
      <c r="H117" s="4"/>
      <c r="I117" s="4"/>
      <c r="J117" s="21"/>
      <c r="K117" s="21"/>
      <c r="L117" s="21"/>
      <c r="M117" s="21"/>
      <c r="N117" s="21"/>
      <c r="O117" s="21"/>
      <c r="P117" s="21"/>
      <c r="Q117" s="21"/>
      <c r="R117" s="21"/>
      <c r="S117" s="21"/>
      <c r="T117" s="20"/>
      <c r="U117" s="21"/>
      <c r="V117" s="4"/>
      <c r="W117" s="4"/>
      <c r="X117" s="4"/>
      <c r="Y117" s="20"/>
      <c r="Z117" s="20"/>
      <c r="AA117" s="4"/>
      <c r="AB117" s="20"/>
      <c r="AC117" s="21"/>
      <c r="AD117" s="21"/>
      <c r="AE117" s="21"/>
    </row>
    <row r="118" spans="1:32" s="10" customFormat="1" ht="14.25" customHeight="1" x14ac:dyDescent="0.3">
      <c r="A118" s="51"/>
      <c r="B118" s="21"/>
      <c r="C118" s="4"/>
      <c r="D118" s="4"/>
      <c r="E118" s="4"/>
      <c r="F118" s="4"/>
      <c r="G118" s="4"/>
      <c r="H118" s="4"/>
      <c r="I118" s="4"/>
      <c r="J118" s="21"/>
      <c r="K118" s="21"/>
      <c r="L118" s="21"/>
      <c r="M118" s="21"/>
      <c r="N118" s="21"/>
      <c r="O118" s="21"/>
      <c r="P118" s="21"/>
      <c r="Q118" s="21"/>
      <c r="R118" s="21"/>
      <c r="S118" s="21"/>
      <c r="T118" s="20"/>
      <c r="U118" s="21"/>
      <c r="V118" s="4"/>
      <c r="W118" s="4"/>
      <c r="X118" s="4"/>
      <c r="Y118" s="20"/>
      <c r="Z118" s="20"/>
      <c r="AA118" s="4"/>
      <c r="AB118" s="20"/>
      <c r="AC118" s="21"/>
      <c r="AD118" s="21"/>
      <c r="AE118" s="21"/>
    </row>
    <row r="119" spans="1:32" s="10" customFormat="1" ht="14.25" customHeight="1" x14ac:dyDescent="0.3">
      <c r="A119" s="51"/>
      <c r="B119" s="21"/>
      <c r="C119" s="4"/>
      <c r="D119" s="4"/>
      <c r="E119" s="4"/>
      <c r="F119" s="4"/>
      <c r="G119" s="4"/>
      <c r="H119" s="4"/>
      <c r="I119" s="4"/>
      <c r="J119" s="21"/>
      <c r="K119" s="21"/>
      <c r="L119" s="21"/>
      <c r="M119" s="21"/>
      <c r="N119" s="21"/>
      <c r="O119" s="21"/>
      <c r="P119" s="21"/>
      <c r="Q119" s="21"/>
      <c r="R119" s="21"/>
      <c r="S119" s="21"/>
      <c r="T119" s="20"/>
      <c r="U119" s="21"/>
      <c r="V119" s="4"/>
      <c r="W119" s="4"/>
      <c r="X119" s="4"/>
      <c r="Y119" s="20"/>
      <c r="Z119" s="20"/>
      <c r="AA119" s="4"/>
      <c r="AB119" s="20"/>
      <c r="AC119" s="21"/>
      <c r="AD119" s="21"/>
      <c r="AE119" s="21"/>
    </row>
    <row r="120" spans="1:32" s="13" customFormat="1" ht="14.25" customHeight="1" x14ac:dyDescent="0.3">
      <c r="A120" s="51"/>
      <c r="B120" s="21"/>
      <c r="C120" s="4"/>
      <c r="D120" s="4"/>
      <c r="E120" s="4"/>
      <c r="F120" s="4"/>
      <c r="G120" s="4"/>
      <c r="H120" s="4"/>
      <c r="I120" s="4"/>
      <c r="J120" s="21"/>
      <c r="K120" s="21"/>
      <c r="L120" s="21"/>
      <c r="M120" s="21"/>
      <c r="N120" s="21"/>
      <c r="O120" s="21"/>
      <c r="P120" s="21"/>
      <c r="Q120" s="21"/>
      <c r="R120" s="21"/>
      <c r="S120" s="21"/>
      <c r="T120" s="20"/>
      <c r="U120" s="21"/>
      <c r="V120" s="4"/>
      <c r="W120" s="4"/>
      <c r="X120" s="4"/>
      <c r="Y120" s="20"/>
      <c r="Z120" s="20"/>
      <c r="AA120" s="4"/>
      <c r="AB120" s="20"/>
      <c r="AC120" s="21"/>
      <c r="AD120" s="21"/>
      <c r="AE120" s="21"/>
      <c r="AF120" s="10"/>
    </row>
    <row r="121" spans="1:32" s="10" customFormat="1" ht="14.25" customHeight="1" x14ac:dyDescent="0.3">
      <c r="A121" s="51"/>
      <c r="B121" s="21"/>
      <c r="C121" s="4"/>
      <c r="D121" s="4"/>
      <c r="E121" s="4"/>
      <c r="F121" s="4"/>
      <c r="G121" s="4"/>
      <c r="H121" s="4"/>
      <c r="I121" s="4"/>
      <c r="J121" s="21"/>
      <c r="K121" s="21"/>
      <c r="L121" s="21"/>
      <c r="M121" s="21"/>
      <c r="N121" s="21"/>
      <c r="O121" s="21"/>
      <c r="P121" s="21"/>
      <c r="Q121" s="21"/>
      <c r="R121" s="21"/>
      <c r="S121" s="21"/>
      <c r="T121" s="20"/>
      <c r="U121" s="21"/>
      <c r="V121" s="4"/>
      <c r="W121" s="4"/>
      <c r="X121" s="4"/>
      <c r="Y121" s="20"/>
      <c r="Z121" s="20"/>
      <c r="AA121" s="4"/>
      <c r="AB121" s="20"/>
      <c r="AC121" s="21"/>
      <c r="AD121" s="21"/>
      <c r="AE121" s="21"/>
    </row>
    <row r="122" spans="1:32" s="10" customFormat="1" ht="14.25" customHeight="1" x14ac:dyDescent="0.3">
      <c r="A122" s="51"/>
      <c r="B122" s="21"/>
      <c r="C122" s="4"/>
      <c r="D122" s="4"/>
      <c r="E122" s="4"/>
      <c r="F122" s="4"/>
      <c r="G122" s="4"/>
      <c r="H122" s="4"/>
      <c r="I122" s="4"/>
      <c r="J122" s="21"/>
      <c r="K122" s="21"/>
      <c r="L122" s="21"/>
      <c r="M122" s="21"/>
      <c r="N122" s="21"/>
      <c r="O122" s="21"/>
      <c r="P122" s="21"/>
      <c r="Q122" s="21"/>
      <c r="R122" s="21"/>
      <c r="S122" s="21"/>
      <c r="T122" s="20"/>
      <c r="U122" s="21"/>
      <c r="V122" s="4"/>
      <c r="W122" s="4"/>
      <c r="X122" s="4"/>
      <c r="Y122" s="20"/>
      <c r="Z122" s="20"/>
      <c r="AA122" s="4"/>
      <c r="AB122" s="20"/>
      <c r="AC122" s="21"/>
      <c r="AD122" s="21"/>
      <c r="AE122" s="21"/>
    </row>
    <row r="123" spans="1:32" s="10" customFormat="1" ht="14.25" customHeight="1" x14ac:dyDescent="0.3">
      <c r="A123" s="51"/>
      <c r="B123" s="21"/>
      <c r="C123" s="4"/>
      <c r="D123" s="4"/>
      <c r="E123" s="4"/>
      <c r="F123" s="4"/>
      <c r="G123" s="4"/>
      <c r="H123" s="4"/>
      <c r="I123" s="4"/>
      <c r="J123" s="21"/>
      <c r="K123" s="21"/>
      <c r="L123" s="21"/>
      <c r="M123" s="21"/>
      <c r="N123" s="21"/>
      <c r="O123" s="21"/>
      <c r="P123" s="21"/>
      <c r="Q123" s="21"/>
      <c r="R123" s="21"/>
      <c r="S123" s="21"/>
      <c r="T123" s="20"/>
      <c r="U123" s="21"/>
      <c r="V123" s="4"/>
      <c r="W123" s="4"/>
      <c r="X123" s="4"/>
      <c r="Y123" s="20"/>
      <c r="Z123" s="20"/>
      <c r="AA123" s="4"/>
      <c r="AB123" s="20"/>
      <c r="AC123" s="21"/>
      <c r="AD123" s="21"/>
      <c r="AE123" s="21"/>
    </row>
    <row r="124" spans="1:32" s="10" customFormat="1" ht="14.25" customHeight="1" x14ac:dyDescent="0.3">
      <c r="A124" s="51"/>
      <c r="B124" s="21"/>
      <c r="C124" s="4"/>
      <c r="D124" s="4"/>
      <c r="E124" s="4"/>
      <c r="F124" s="4"/>
      <c r="G124" s="4"/>
      <c r="H124" s="4"/>
      <c r="I124" s="4"/>
      <c r="J124" s="21"/>
      <c r="K124" s="21"/>
      <c r="L124" s="21"/>
      <c r="M124" s="21"/>
      <c r="N124" s="21"/>
      <c r="O124" s="21"/>
      <c r="P124" s="21"/>
      <c r="Q124" s="21"/>
      <c r="R124" s="21"/>
      <c r="S124" s="21"/>
      <c r="T124" s="20"/>
      <c r="U124" s="21"/>
      <c r="V124" s="4"/>
      <c r="W124" s="4"/>
      <c r="X124" s="4"/>
      <c r="Y124" s="20"/>
      <c r="Z124" s="20"/>
      <c r="AA124" s="4"/>
      <c r="AB124" s="20"/>
      <c r="AC124" s="21"/>
      <c r="AD124" s="21"/>
      <c r="AE124" s="21"/>
      <c r="AF124" s="13"/>
    </row>
    <row r="125" spans="1:32" s="10" customFormat="1" ht="14.25" customHeight="1" x14ac:dyDescent="0.3">
      <c r="A125" s="51"/>
      <c r="B125" s="21"/>
      <c r="C125" s="4"/>
      <c r="D125" s="4"/>
      <c r="E125" s="4"/>
      <c r="F125" s="4"/>
      <c r="G125" s="4"/>
      <c r="H125" s="4"/>
      <c r="I125" s="4"/>
      <c r="J125" s="21"/>
      <c r="K125" s="21"/>
      <c r="L125" s="21"/>
      <c r="M125" s="21"/>
      <c r="N125" s="21"/>
      <c r="O125" s="21"/>
      <c r="P125" s="21"/>
      <c r="Q125" s="21"/>
      <c r="R125" s="21"/>
      <c r="S125" s="21"/>
      <c r="T125" s="20"/>
      <c r="U125" s="21"/>
      <c r="V125" s="4"/>
      <c r="W125" s="4"/>
      <c r="X125" s="4"/>
      <c r="Y125" s="20"/>
      <c r="Z125" s="20"/>
      <c r="AA125" s="4"/>
      <c r="AB125" s="20"/>
      <c r="AC125" s="21"/>
      <c r="AD125" s="21"/>
      <c r="AE125" s="21"/>
    </row>
    <row r="126" spans="1:32" s="10" customFormat="1" ht="14.25" customHeight="1" x14ac:dyDescent="0.3">
      <c r="A126" s="51"/>
      <c r="B126" s="21"/>
      <c r="C126" s="4"/>
      <c r="D126" s="4"/>
      <c r="E126" s="4"/>
      <c r="F126" s="4"/>
      <c r="G126" s="4"/>
      <c r="H126" s="4"/>
      <c r="I126" s="4"/>
      <c r="J126" s="21"/>
      <c r="K126" s="21"/>
      <c r="L126" s="21"/>
      <c r="M126" s="21"/>
      <c r="N126" s="21"/>
      <c r="O126" s="21"/>
      <c r="P126" s="21"/>
      <c r="Q126" s="21"/>
      <c r="R126" s="21"/>
      <c r="S126" s="21"/>
      <c r="T126" s="20"/>
      <c r="U126" s="21"/>
      <c r="V126" s="4"/>
      <c r="W126" s="4"/>
      <c r="X126" s="4"/>
      <c r="Y126" s="20"/>
      <c r="Z126" s="20"/>
      <c r="AA126" s="4"/>
      <c r="AB126" s="20"/>
      <c r="AC126" s="21"/>
      <c r="AD126" s="21"/>
      <c r="AE126" s="21"/>
    </row>
    <row r="127" spans="1:32" s="10" customFormat="1" ht="14.25" customHeight="1" x14ac:dyDescent="0.3">
      <c r="A127" s="51"/>
      <c r="B127" s="21"/>
      <c r="C127" s="4"/>
      <c r="D127" s="4"/>
      <c r="E127" s="4"/>
      <c r="F127" s="4"/>
      <c r="G127" s="4"/>
      <c r="H127" s="4"/>
      <c r="I127" s="4"/>
      <c r="J127" s="21"/>
      <c r="K127" s="21"/>
      <c r="L127" s="21"/>
      <c r="M127" s="21"/>
      <c r="N127" s="21"/>
      <c r="O127" s="21"/>
      <c r="P127" s="21"/>
      <c r="Q127" s="21"/>
      <c r="R127" s="21"/>
      <c r="S127" s="21"/>
      <c r="T127" s="20"/>
      <c r="U127" s="21"/>
      <c r="V127" s="4"/>
      <c r="W127" s="4"/>
      <c r="X127" s="4"/>
      <c r="Y127" s="20"/>
      <c r="Z127" s="20"/>
      <c r="AA127" s="4"/>
      <c r="AB127" s="20"/>
      <c r="AC127" s="21"/>
      <c r="AD127" s="21"/>
      <c r="AE127" s="21"/>
    </row>
    <row r="128" spans="1:32" s="10" customFormat="1" ht="14.25" customHeight="1" x14ac:dyDescent="0.3">
      <c r="A128" s="51"/>
      <c r="B128" s="21"/>
      <c r="C128" s="4"/>
      <c r="D128" s="4"/>
      <c r="E128" s="4"/>
      <c r="F128" s="4"/>
      <c r="G128" s="4"/>
      <c r="H128" s="4"/>
      <c r="I128" s="4"/>
      <c r="J128" s="21"/>
      <c r="K128" s="21"/>
      <c r="L128" s="21"/>
      <c r="M128" s="21"/>
      <c r="N128" s="21"/>
      <c r="O128" s="21"/>
      <c r="P128" s="21"/>
      <c r="Q128" s="21"/>
      <c r="R128" s="21"/>
      <c r="S128" s="21"/>
      <c r="T128" s="20"/>
      <c r="U128" s="21"/>
      <c r="V128" s="4"/>
      <c r="W128" s="4"/>
      <c r="X128" s="4"/>
      <c r="Y128" s="20"/>
      <c r="Z128" s="20"/>
      <c r="AA128" s="4"/>
      <c r="AB128" s="20"/>
      <c r="AC128" s="21"/>
      <c r="AD128" s="21"/>
      <c r="AE128" s="21"/>
    </row>
    <row r="129" spans="1:31" s="10" customFormat="1" ht="14.25" customHeight="1" x14ac:dyDescent="0.3">
      <c r="A129" s="51"/>
      <c r="B129" s="21"/>
      <c r="C129" s="4"/>
      <c r="D129" s="4"/>
      <c r="E129" s="4"/>
      <c r="F129" s="4"/>
      <c r="G129" s="4"/>
      <c r="H129" s="4"/>
      <c r="I129" s="4"/>
      <c r="J129" s="21"/>
      <c r="K129" s="21"/>
      <c r="L129" s="21"/>
      <c r="M129" s="21"/>
      <c r="N129" s="21"/>
      <c r="O129" s="21"/>
      <c r="P129" s="21"/>
      <c r="Q129" s="21"/>
      <c r="R129" s="21"/>
      <c r="S129" s="21"/>
      <c r="T129" s="20"/>
      <c r="U129" s="21"/>
      <c r="V129" s="4"/>
      <c r="W129" s="4"/>
      <c r="X129" s="4"/>
      <c r="Y129" s="20"/>
      <c r="Z129" s="20"/>
      <c r="AA129" s="4"/>
      <c r="AB129" s="20"/>
      <c r="AC129" s="21"/>
      <c r="AD129" s="21"/>
      <c r="AE129" s="21"/>
    </row>
    <row r="130" spans="1:31" s="10" customFormat="1" ht="14.25" customHeight="1" x14ac:dyDescent="0.3">
      <c r="A130" s="51"/>
      <c r="B130" s="21"/>
      <c r="C130" s="4"/>
      <c r="D130" s="4"/>
      <c r="E130" s="4"/>
      <c r="F130" s="4"/>
      <c r="G130" s="4"/>
      <c r="H130" s="4"/>
      <c r="I130" s="4"/>
      <c r="J130" s="21"/>
      <c r="K130" s="21"/>
      <c r="L130" s="21"/>
      <c r="M130" s="21"/>
      <c r="N130" s="21"/>
      <c r="O130" s="21"/>
      <c r="P130" s="21"/>
      <c r="Q130" s="21"/>
      <c r="R130" s="21"/>
      <c r="S130" s="21"/>
      <c r="T130" s="20"/>
      <c r="U130" s="21"/>
      <c r="V130" s="4"/>
      <c r="W130" s="4"/>
      <c r="X130" s="4"/>
      <c r="Y130" s="20"/>
      <c r="Z130" s="20"/>
      <c r="AA130" s="4"/>
      <c r="AB130" s="20"/>
      <c r="AC130" s="21"/>
      <c r="AD130" s="21"/>
      <c r="AE130" s="21"/>
    </row>
    <row r="131" spans="1:31" s="10" customFormat="1" ht="14.25" customHeight="1" x14ac:dyDescent="0.3">
      <c r="A131" s="51"/>
      <c r="B131" s="21"/>
      <c r="C131" s="4"/>
      <c r="D131" s="4"/>
      <c r="E131" s="4"/>
      <c r="F131" s="4"/>
      <c r="G131" s="4"/>
      <c r="H131" s="4"/>
      <c r="I131" s="4"/>
      <c r="J131" s="21"/>
      <c r="K131" s="21"/>
      <c r="L131" s="21"/>
      <c r="M131" s="21"/>
      <c r="N131" s="21"/>
      <c r="O131" s="21"/>
      <c r="P131" s="21"/>
      <c r="Q131" s="21"/>
      <c r="R131" s="21"/>
      <c r="S131" s="21"/>
      <c r="T131" s="20"/>
      <c r="U131" s="21"/>
      <c r="V131" s="4"/>
      <c r="W131" s="4"/>
      <c r="X131" s="4"/>
      <c r="Y131" s="20"/>
      <c r="Z131" s="20"/>
      <c r="AA131" s="4"/>
      <c r="AB131" s="20"/>
      <c r="AC131" s="21"/>
      <c r="AD131" s="21"/>
      <c r="AE131" s="21"/>
    </row>
    <row r="132" spans="1:31" s="10" customFormat="1" ht="14.25" customHeight="1" x14ac:dyDescent="0.3">
      <c r="A132" s="51"/>
      <c r="B132" s="21"/>
      <c r="C132" s="4"/>
      <c r="D132" s="4"/>
      <c r="E132" s="4"/>
      <c r="F132" s="4"/>
      <c r="G132" s="4"/>
      <c r="H132" s="4"/>
      <c r="I132" s="4"/>
      <c r="J132" s="21"/>
      <c r="K132" s="21"/>
      <c r="L132" s="21"/>
      <c r="M132" s="21"/>
      <c r="N132" s="21"/>
      <c r="O132" s="21"/>
      <c r="P132" s="21"/>
      <c r="Q132" s="21"/>
      <c r="R132" s="21"/>
      <c r="S132" s="21"/>
      <c r="T132" s="20"/>
      <c r="U132" s="21"/>
      <c r="V132" s="4"/>
      <c r="W132" s="4"/>
      <c r="X132" s="4"/>
      <c r="Y132" s="20"/>
      <c r="Z132" s="20"/>
      <c r="AA132" s="4"/>
      <c r="AB132" s="20"/>
      <c r="AC132" s="21"/>
      <c r="AD132" s="21"/>
      <c r="AE132" s="21"/>
    </row>
    <row r="133" spans="1:31" s="10" customFormat="1" ht="14.25" customHeight="1" x14ac:dyDescent="0.3">
      <c r="A133" s="51"/>
      <c r="B133" s="21"/>
      <c r="C133" s="4"/>
      <c r="D133" s="4"/>
      <c r="E133" s="4"/>
      <c r="F133" s="4"/>
      <c r="G133" s="4"/>
      <c r="H133" s="4"/>
      <c r="I133" s="4"/>
      <c r="J133" s="21"/>
      <c r="K133" s="21"/>
      <c r="L133" s="21"/>
      <c r="M133" s="21"/>
      <c r="N133" s="21"/>
      <c r="O133" s="21"/>
      <c r="P133" s="21"/>
      <c r="Q133" s="21"/>
      <c r="R133" s="21"/>
      <c r="S133" s="21"/>
      <c r="T133" s="20"/>
      <c r="U133" s="21"/>
      <c r="V133" s="4"/>
      <c r="W133" s="4"/>
      <c r="X133" s="4"/>
      <c r="Y133" s="20"/>
      <c r="Z133" s="20"/>
      <c r="AA133" s="4"/>
      <c r="AB133" s="20"/>
      <c r="AC133" s="21"/>
      <c r="AD133" s="21"/>
      <c r="AE133" s="21"/>
    </row>
    <row r="134" spans="1:31" s="10" customFormat="1" ht="14.25" customHeight="1" x14ac:dyDescent="0.3">
      <c r="A134" s="51"/>
      <c r="B134" s="21"/>
      <c r="C134" s="4"/>
      <c r="D134" s="4"/>
      <c r="E134" s="4"/>
      <c r="F134" s="4"/>
      <c r="G134" s="4"/>
      <c r="H134" s="4"/>
      <c r="I134" s="4"/>
      <c r="J134" s="21"/>
      <c r="K134" s="21"/>
      <c r="L134" s="21"/>
      <c r="M134" s="21"/>
      <c r="N134" s="21"/>
      <c r="O134" s="21"/>
      <c r="P134" s="21"/>
      <c r="Q134" s="21"/>
      <c r="R134" s="21"/>
      <c r="S134" s="21"/>
      <c r="T134" s="20"/>
      <c r="U134" s="21"/>
      <c r="V134" s="4"/>
      <c r="W134" s="4"/>
      <c r="X134" s="4"/>
      <c r="Y134" s="20"/>
      <c r="Z134" s="20"/>
      <c r="AA134" s="4"/>
      <c r="AB134" s="20"/>
      <c r="AC134" s="21"/>
      <c r="AD134" s="21"/>
      <c r="AE134" s="21"/>
    </row>
    <row r="135" spans="1:31" s="10" customFormat="1" ht="14.25" customHeight="1" x14ac:dyDescent="0.3">
      <c r="A135" s="51"/>
      <c r="B135" s="21"/>
      <c r="C135" s="4"/>
      <c r="D135" s="4"/>
      <c r="E135" s="4"/>
      <c r="F135" s="4"/>
      <c r="G135" s="4"/>
      <c r="H135" s="4"/>
      <c r="I135" s="4"/>
      <c r="J135" s="21"/>
      <c r="K135" s="21"/>
      <c r="L135" s="21"/>
      <c r="M135" s="21"/>
      <c r="N135" s="21"/>
      <c r="O135" s="21"/>
      <c r="P135" s="21"/>
      <c r="Q135" s="21"/>
      <c r="R135" s="21"/>
      <c r="S135" s="21"/>
      <c r="T135" s="20"/>
      <c r="U135" s="21"/>
      <c r="V135" s="4"/>
      <c r="W135" s="4"/>
      <c r="X135" s="4"/>
      <c r="Y135" s="20"/>
      <c r="Z135" s="20"/>
      <c r="AA135" s="4"/>
      <c r="AB135" s="20"/>
      <c r="AC135" s="21"/>
      <c r="AD135" s="21"/>
      <c r="AE135" s="21"/>
    </row>
    <row r="136" spans="1:31" s="10" customFormat="1" ht="14.25" customHeight="1" x14ac:dyDescent="0.3">
      <c r="A136" s="51"/>
      <c r="B136" s="21"/>
      <c r="C136" s="4"/>
      <c r="D136" s="4"/>
      <c r="E136" s="4"/>
      <c r="F136" s="4"/>
      <c r="G136" s="4"/>
      <c r="H136" s="4"/>
      <c r="I136" s="4"/>
      <c r="J136" s="21"/>
      <c r="K136" s="21"/>
      <c r="L136" s="21"/>
      <c r="M136" s="21"/>
      <c r="N136" s="21"/>
      <c r="O136" s="21"/>
      <c r="P136" s="21"/>
      <c r="Q136" s="21"/>
      <c r="R136" s="21"/>
      <c r="S136" s="21"/>
      <c r="T136" s="20"/>
      <c r="U136" s="21"/>
      <c r="V136" s="4"/>
      <c r="W136" s="4"/>
      <c r="X136" s="4"/>
      <c r="Y136" s="20"/>
      <c r="Z136" s="20"/>
      <c r="AA136" s="4"/>
      <c r="AB136" s="20"/>
      <c r="AC136" s="21"/>
      <c r="AD136" s="21"/>
      <c r="AE136" s="21"/>
    </row>
    <row r="137" spans="1:31" s="10" customFormat="1" ht="14.25" customHeight="1" x14ac:dyDescent="0.3">
      <c r="A137" s="51"/>
      <c r="B137" s="21"/>
      <c r="C137" s="4"/>
      <c r="D137" s="4"/>
      <c r="E137" s="4"/>
      <c r="F137" s="4"/>
      <c r="G137" s="4"/>
      <c r="H137" s="4"/>
      <c r="I137" s="4"/>
      <c r="J137" s="21"/>
      <c r="K137" s="21"/>
      <c r="L137" s="21"/>
      <c r="M137" s="21"/>
      <c r="N137" s="21"/>
      <c r="O137" s="21"/>
      <c r="P137" s="21"/>
      <c r="Q137" s="21"/>
      <c r="R137" s="21"/>
      <c r="S137" s="21"/>
      <c r="T137" s="20"/>
      <c r="U137" s="21"/>
      <c r="V137" s="4"/>
      <c r="W137" s="4"/>
      <c r="X137" s="4"/>
      <c r="Y137" s="20"/>
      <c r="Z137" s="20"/>
      <c r="AA137" s="4"/>
      <c r="AB137" s="20"/>
      <c r="AC137" s="21"/>
      <c r="AD137" s="21"/>
      <c r="AE137" s="21"/>
    </row>
    <row r="138" spans="1:31" s="10" customFormat="1" ht="14.25" customHeight="1" x14ac:dyDescent="0.3">
      <c r="A138" s="51"/>
      <c r="B138" s="21"/>
      <c r="C138" s="4"/>
      <c r="D138" s="4"/>
      <c r="E138" s="4"/>
      <c r="F138" s="4"/>
      <c r="G138" s="4"/>
      <c r="H138" s="4"/>
      <c r="I138" s="4"/>
      <c r="J138" s="21"/>
      <c r="K138" s="21"/>
      <c r="L138" s="21"/>
      <c r="M138" s="21"/>
      <c r="N138" s="21"/>
      <c r="O138" s="21"/>
      <c r="P138" s="21"/>
      <c r="Q138" s="21"/>
      <c r="R138" s="21"/>
      <c r="S138" s="21"/>
      <c r="T138" s="20"/>
      <c r="U138" s="21"/>
      <c r="V138" s="4"/>
      <c r="W138" s="4"/>
      <c r="X138" s="4"/>
      <c r="Y138" s="20"/>
      <c r="Z138" s="20"/>
      <c r="AA138" s="4"/>
      <c r="AB138" s="20"/>
      <c r="AC138" s="21"/>
      <c r="AD138" s="21"/>
      <c r="AE138" s="21"/>
    </row>
    <row r="139" spans="1:31" s="10" customFormat="1" ht="14.25" customHeight="1" x14ac:dyDescent="0.3">
      <c r="A139" s="51"/>
      <c r="B139" s="21"/>
      <c r="C139" s="4"/>
      <c r="D139" s="4"/>
      <c r="E139" s="4"/>
      <c r="F139" s="4"/>
      <c r="G139" s="4"/>
      <c r="H139" s="4"/>
      <c r="I139" s="4"/>
      <c r="J139" s="21"/>
      <c r="K139" s="21"/>
      <c r="L139" s="21"/>
      <c r="M139" s="21"/>
      <c r="N139" s="21"/>
      <c r="O139" s="21"/>
      <c r="P139" s="21"/>
      <c r="Q139" s="21"/>
      <c r="R139" s="21"/>
      <c r="S139" s="21"/>
      <c r="T139" s="20"/>
      <c r="U139" s="21"/>
      <c r="V139" s="4"/>
      <c r="W139" s="4"/>
      <c r="X139" s="4"/>
      <c r="Y139" s="20"/>
      <c r="Z139" s="20"/>
      <c r="AA139" s="4"/>
      <c r="AB139" s="20"/>
      <c r="AC139" s="21"/>
      <c r="AD139" s="21"/>
      <c r="AE139" s="21"/>
    </row>
    <row r="140" spans="1:31" s="10" customFormat="1" ht="14.25" customHeight="1" x14ac:dyDescent="0.3">
      <c r="A140" s="51"/>
      <c r="B140" s="21"/>
      <c r="C140" s="4"/>
      <c r="D140" s="4"/>
      <c r="E140" s="4"/>
      <c r="F140" s="4"/>
      <c r="G140" s="4"/>
      <c r="H140" s="4"/>
      <c r="I140" s="4"/>
      <c r="J140" s="21"/>
      <c r="K140" s="21"/>
      <c r="L140" s="21"/>
      <c r="M140" s="21"/>
      <c r="N140" s="21"/>
      <c r="O140" s="21"/>
      <c r="P140" s="21"/>
      <c r="Q140" s="21"/>
      <c r="R140" s="21"/>
      <c r="S140" s="21"/>
      <c r="T140" s="20"/>
      <c r="U140" s="21"/>
      <c r="V140" s="4"/>
      <c r="W140" s="4"/>
      <c r="X140" s="4"/>
      <c r="Y140" s="20"/>
      <c r="Z140" s="20"/>
      <c r="AA140" s="4"/>
      <c r="AB140" s="20"/>
      <c r="AC140" s="21"/>
      <c r="AD140" s="21"/>
      <c r="AE140" s="21"/>
    </row>
    <row r="141" spans="1:31" s="10" customFormat="1" ht="14.25" customHeight="1" x14ac:dyDescent="0.3">
      <c r="A141" s="51"/>
      <c r="B141" s="21"/>
      <c r="C141" s="4"/>
      <c r="D141" s="4"/>
      <c r="E141" s="4"/>
      <c r="F141" s="4"/>
      <c r="G141" s="4"/>
      <c r="H141" s="4"/>
      <c r="I141" s="4"/>
      <c r="J141" s="21"/>
      <c r="K141" s="21"/>
      <c r="L141" s="21"/>
      <c r="M141" s="21"/>
      <c r="N141" s="21"/>
      <c r="O141" s="21"/>
      <c r="P141" s="21"/>
      <c r="Q141" s="21"/>
      <c r="R141" s="21"/>
      <c r="S141" s="21"/>
      <c r="T141" s="20"/>
      <c r="U141" s="21"/>
      <c r="V141" s="4"/>
      <c r="W141" s="4"/>
      <c r="X141" s="4"/>
      <c r="Y141" s="20"/>
      <c r="Z141" s="20"/>
      <c r="AA141" s="4"/>
      <c r="AB141" s="20"/>
      <c r="AC141" s="21"/>
      <c r="AD141" s="21"/>
      <c r="AE141" s="21"/>
    </row>
    <row r="142" spans="1:31" s="10" customFormat="1" ht="14.25" customHeight="1" x14ac:dyDescent="0.3">
      <c r="A142" s="51"/>
      <c r="B142" s="21"/>
      <c r="C142" s="4"/>
      <c r="D142" s="4"/>
      <c r="E142" s="4"/>
      <c r="F142" s="4"/>
      <c r="G142" s="4"/>
      <c r="H142" s="4"/>
      <c r="I142" s="4"/>
      <c r="J142" s="21"/>
      <c r="K142" s="21"/>
      <c r="L142" s="21"/>
      <c r="M142" s="21"/>
      <c r="N142" s="21"/>
      <c r="O142" s="21"/>
      <c r="P142" s="21"/>
      <c r="Q142" s="21"/>
      <c r="R142" s="21"/>
      <c r="S142" s="21"/>
      <c r="T142" s="20"/>
      <c r="U142" s="21"/>
      <c r="V142" s="4"/>
      <c r="W142" s="4"/>
      <c r="X142" s="4"/>
      <c r="Y142" s="20"/>
      <c r="Z142" s="20"/>
      <c r="AA142" s="4"/>
      <c r="AB142" s="20"/>
      <c r="AC142" s="21"/>
      <c r="AD142" s="21"/>
      <c r="AE142" s="21"/>
    </row>
    <row r="143" spans="1:31" s="10" customFormat="1" ht="14.25" customHeight="1" x14ac:dyDescent="0.3">
      <c r="A143" s="51"/>
      <c r="B143" s="21"/>
      <c r="C143" s="4"/>
      <c r="D143" s="4"/>
      <c r="E143" s="4"/>
      <c r="F143" s="4"/>
      <c r="G143" s="4"/>
      <c r="H143" s="4"/>
      <c r="I143" s="4"/>
      <c r="J143" s="21"/>
      <c r="K143" s="21"/>
      <c r="L143" s="21"/>
      <c r="M143" s="21"/>
      <c r="N143" s="21"/>
      <c r="O143" s="21"/>
      <c r="P143" s="21"/>
      <c r="Q143" s="21"/>
      <c r="R143" s="21"/>
      <c r="S143" s="21"/>
      <c r="T143" s="20"/>
      <c r="U143" s="21"/>
      <c r="V143" s="4"/>
      <c r="W143" s="4"/>
      <c r="X143" s="4"/>
      <c r="Y143" s="20"/>
      <c r="Z143" s="20"/>
      <c r="AA143" s="4"/>
      <c r="AB143" s="20"/>
      <c r="AC143" s="21"/>
      <c r="AD143" s="21"/>
      <c r="AE143" s="21"/>
    </row>
    <row r="144" spans="1:31" s="10" customFormat="1" ht="14.25" customHeight="1" x14ac:dyDescent="0.3">
      <c r="A144" s="51"/>
      <c r="B144" s="21"/>
      <c r="C144" s="4"/>
      <c r="D144" s="4"/>
      <c r="E144" s="4"/>
      <c r="F144" s="4"/>
      <c r="G144" s="4"/>
      <c r="H144" s="4"/>
      <c r="I144" s="4"/>
      <c r="J144" s="21"/>
      <c r="K144" s="21"/>
      <c r="L144" s="21"/>
      <c r="M144" s="21"/>
      <c r="N144" s="21"/>
      <c r="O144" s="21"/>
      <c r="P144" s="21"/>
      <c r="Q144" s="21"/>
      <c r="R144" s="21"/>
      <c r="S144" s="21"/>
      <c r="T144" s="20"/>
      <c r="U144" s="21"/>
      <c r="V144" s="4"/>
      <c r="W144" s="4"/>
      <c r="X144" s="4"/>
      <c r="Y144" s="20"/>
      <c r="Z144" s="20"/>
      <c r="AA144" s="4"/>
      <c r="AB144" s="20"/>
      <c r="AC144" s="21"/>
      <c r="AD144" s="21"/>
      <c r="AE144" s="21"/>
    </row>
    <row r="145" spans="1:32" s="10" customFormat="1" ht="14.25" customHeight="1" x14ac:dyDescent="0.3">
      <c r="A145" s="51"/>
      <c r="B145" s="21"/>
      <c r="C145" s="4"/>
      <c r="D145" s="4"/>
      <c r="E145" s="4"/>
      <c r="F145" s="4"/>
      <c r="G145" s="4"/>
      <c r="H145" s="4"/>
      <c r="I145" s="4"/>
      <c r="J145" s="21"/>
      <c r="K145" s="21"/>
      <c r="L145" s="21"/>
      <c r="M145" s="21"/>
      <c r="N145" s="21"/>
      <c r="O145" s="21"/>
      <c r="P145" s="21"/>
      <c r="Q145" s="21"/>
      <c r="R145" s="21"/>
      <c r="S145" s="21"/>
      <c r="T145" s="20"/>
      <c r="U145" s="21"/>
      <c r="V145" s="4"/>
      <c r="W145" s="4"/>
      <c r="X145" s="4"/>
      <c r="Y145" s="20"/>
      <c r="Z145" s="20"/>
      <c r="AA145" s="4"/>
      <c r="AB145" s="20"/>
      <c r="AC145" s="21"/>
      <c r="AD145" s="21"/>
      <c r="AE145" s="21"/>
    </row>
    <row r="146" spans="1:32" s="10" customFormat="1" ht="14.25" customHeight="1" x14ac:dyDescent="0.3">
      <c r="A146" s="51"/>
      <c r="B146" s="21"/>
      <c r="C146" s="4"/>
      <c r="D146" s="4"/>
      <c r="E146" s="4"/>
      <c r="F146" s="4"/>
      <c r="G146" s="4"/>
      <c r="H146" s="4"/>
      <c r="I146" s="4"/>
      <c r="J146" s="21"/>
      <c r="K146" s="21"/>
      <c r="L146" s="21"/>
      <c r="M146" s="21"/>
      <c r="N146" s="21"/>
      <c r="O146" s="21"/>
      <c r="P146" s="21"/>
      <c r="Q146" s="21"/>
      <c r="R146" s="21"/>
      <c r="S146" s="21"/>
      <c r="T146" s="20"/>
      <c r="U146" s="21"/>
      <c r="V146" s="4"/>
      <c r="W146" s="4"/>
      <c r="X146" s="4"/>
      <c r="Y146" s="20"/>
      <c r="Z146" s="20"/>
      <c r="AA146" s="4"/>
      <c r="AB146" s="20"/>
      <c r="AC146" s="21"/>
      <c r="AD146" s="21"/>
      <c r="AE146" s="21"/>
    </row>
    <row r="147" spans="1:32" s="10" customFormat="1" ht="14.25" customHeight="1" x14ac:dyDescent="0.3">
      <c r="A147" s="51"/>
      <c r="B147" s="21"/>
      <c r="C147" s="4"/>
      <c r="D147" s="4"/>
      <c r="E147" s="4"/>
      <c r="F147" s="4"/>
      <c r="G147" s="4"/>
      <c r="H147" s="4"/>
      <c r="I147" s="4"/>
      <c r="J147" s="21"/>
      <c r="K147" s="21"/>
      <c r="L147" s="21"/>
      <c r="M147" s="21"/>
      <c r="N147" s="21"/>
      <c r="O147" s="21"/>
      <c r="P147" s="21"/>
      <c r="Q147" s="21"/>
      <c r="R147" s="21"/>
      <c r="S147" s="21"/>
      <c r="T147" s="20"/>
      <c r="U147" s="21"/>
      <c r="V147" s="4"/>
      <c r="W147" s="4"/>
      <c r="X147" s="4"/>
      <c r="Y147" s="20"/>
      <c r="Z147" s="20"/>
      <c r="AA147" s="4"/>
      <c r="AB147" s="20"/>
      <c r="AC147" s="21"/>
      <c r="AD147" s="21"/>
      <c r="AE147" s="21"/>
    </row>
    <row r="148" spans="1:32" s="10" customFormat="1" ht="14.25" customHeight="1" x14ac:dyDescent="0.3">
      <c r="A148" s="51"/>
      <c r="B148" s="21"/>
      <c r="C148" s="4"/>
      <c r="D148" s="4"/>
      <c r="E148" s="4"/>
      <c r="F148" s="4"/>
      <c r="G148" s="4"/>
      <c r="H148" s="4"/>
      <c r="I148" s="4"/>
      <c r="J148" s="21"/>
      <c r="K148" s="21"/>
      <c r="L148" s="21"/>
      <c r="M148" s="21"/>
      <c r="N148" s="21"/>
      <c r="O148" s="21"/>
      <c r="P148" s="21"/>
      <c r="Q148" s="21"/>
      <c r="R148" s="21"/>
      <c r="S148" s="21"/>
      <c r="T148" s="20"/>
      <c r="U148" s="21"/>
      <c r="V148" s="4"/>
      <c r="W148" s="4"/>
      <c r="X148" s="4"/>
      <c r="Y148" s="20"/>
      <c r="Z148" s="20"/>
      <c r="AA148" s="4"/>
      <c r="AB148" s="20"/>
      <c r="AC148" s="21"/>
      <c r="AD148" s="21"/>
      <c r="AE148" s="21"/>
    </row>
    <row r="149" spans="1:32" s="14" customFormat="1" ht="14.25" customHeight="1" x14ac:dyDescent="0.3">
      <c r="A149" s="51"/>
      <c r="B149" s="21"/>
      <c r="C149" s="4"/>
      <c r="D149" s="4"/>
      <c r="E149" s="4"/>
      <c r="F149" s="4"/>
      <c r="G149" s="4"/>
      <c r="H149" s="4"/>
      <c r="I149" s="4"/>
      <c r="J149" s="21"/>
      <c r="K149" s="21"/>
      <c r="L149" s="21"/>
      <c r="M149" s="21"/>
      <c r="N149" s="21"/>
      <c r="O149" s="21"/>
      <c r="P149" s="21"/>
      <c r="Q149" s="21"/>
      <c r="R149" s="21"/>
      <c r="S149" s="21"/>
      <c r="T149" s="20"/>
      <c r="U149" s="21"/>
      <c r="V149" s="4"/>
      <c r="W149" s="4"/>
      <c r="X149" s="4"/>
      <c r="Y149" s="20"/>
      <c r="Z149" s="20"/>
      <c r="AA149" s="4"/>
      <c r="AB149" s="20"/>
      <c r="AC149" s="21"/>
      <c r="AD149" s="21"/>
      <c r="AE149" s="21"/>
      <c r="AF149" s="10"/>
    </row>
    <row r="150" spans="1:32" s="10" customFormat="1" ht="14.25" customHeight="1" x14ac:dyDescent="0.3">
      <c r="A150" s="51"/>
      <c r="B150" s="21"/>
      <c r="C150" s="4"/>
      <c r="D150" s="4"/>
      <c r="E150" s="4"/>
      <c r="F150" s="4"/>
      <c r="G150" s="4"/>
      <c r="H150" s="4"/>
      <c r="I150" s="4"/>
      <c r="J150" s="21"/>
      <c r="K150" s="21"/>
      <c r="L150" s="21"/>
      <c r="M150" s="21"/>
      <c r="N150" s="21"/>
      <c r="O150" s="21"/>
      <c r="P150" s="21"/>
      <c r="Q150" s="21"/>
      <c r="R150" s="21"/>
      <c r="S150" s="21"/>
      <c r="T150" s="20"/>
      <c r="U150" s="21"/>
      <c r="V150" s="4"/>
      <c r="W150" s="4"/>
      <c r="X150" s="4"/>
      <c r="Y150" s="20"/>
      <c r="Z150" s="20"/>
      <c r="AA150" s="4"/>
      <c r="AB150" s="20"/>
      <c r="AC150" s="21"/>
      <c r="AD150" s="21"/>
      <c r="AE150" s="21"/>
    </row>
    <row r="151" spans="1:32" s="10" customFormat="1" ht="14.25" customHeight="1" x14ac:dyDescent="0.3">
      <c r="A151" s="51"/>
      <c r="B151" s="21"/>
      <c r="C151" s="4"/>
      <c r="D151" s="4"/>
      <c r="E151" s="4"/>
      <c r="F151" s="4"/>
      <c r="G151" s="4"/>
      <c r="H151" s="4"/>
      <c r="I151" s="4"/>
      <c r="J151" s="21"/>
      <c r="K151" s="21"/>
      <c r="L151" s="21"/>
      <c r="M151" s="21"/>
      <c r="N151" s="21"/>
      <c r="O151" s="21"/>
      <c r="P151" s="21"/>
      <c r="Q151" s="21"/>
      <c r="R151" s="21"/>
      <c r="S151" s="21"/>
      <c r="T151" s="20"/>
      <c r="U151" s="21"/>
      <c r="V151" s="4"/>
      <c r="W151" s="4"/>
      <c r="X151" s="4"/>
      <c r="Y151" s="20"/>
      <c r="Z151" s="20"/>
      <c r="AA151" s="4"/>
      <c r="AB151" s="20"/>
      <c r="AC151" s="21"/>
      <c r="AD151" s="21"/>
      <c r="AE151" s="21"/>
    </row>
    <row r="152" spans="1:32" s="10" customFormat="1" ht="14.25" customHeight="1" x14ac:dyDescent="0.3">
      <c r="A152" s="51"/>
      <c r="B152" s="21"/>
      <c r="C152" s="4"/>
      <c r="D152" s="4"/>
      <c r="E152" s="4"/>
      <c r="F152" s="4"/>
      <c r="G152" s="4"/>
      <c r="H152" s="4"/>
      <c r="I152" s="4"/>
      <c r="J152" s="21"/>
      <c r="K152" s="21"/>
      <c r="L152" s="21"/>
      <c r="M152" s="21"/>
      <c r="N152" s="21"/>
      <c r="O152" s="21"/>
      <c r="P152" s="21"/>
      <c r="Q152" s="21"/>
      <c r="R152" s="21"/>
      <c r="S152" s="21"/>
      <c r="T152" s="20"/>
      <c r="U152" s="21"/>
      <c r="V152" s="4"/>
      <c r="W152" s="4"/>
      <c r="X152" s="4"/>
      <c r="Y152" s="20"/>
      <c r="Z152" s="20"/>
      <c r="AA152" s="4"/>
      <c r="AB152" s="20"/>
      <c r="AC152" s="21"/>
      <c r="AD152" s="21"/>
      <c r="AE152" s="21"/>
    </row>
    <row r="153" spans="1:32" s="10" customFormat="1" ht="14.25" customHeight="1" x14ac:dyDescent="0.3">
      <c r="A153" s="51"/>
      <c r="B153" s="21"/>
      <c r="C153" s="4"/>
      <c r="D153" s="4"/>
      <c r="E153" s="4"/>
      <c r="F153" s="4"/>
      <c r="G153" s="4"/>
      <c r="H153" s="4"/>
      <c r="I153" s="4"/>
      <c r="J153" s="21"/>
      <c r="K153" s="21"/>
      <c r="L153" s="21"/>
      <c r="M153" s="21"/>
      <c r="N153" s="21"/>
      <c r="O153" s="21"/>
      <c r="P153" s="21"/>
      <c r="Q153" s="21"/>
      <c r="R153" s="21"/>
      <c r="S153" s="21"/>
      <c r="T153" s="20"/>
      <c r="U153" s="21"/>
      <c r="V153" s="4"/>
      <c r="W153" s="4"/>
      <c r="X153" s="4"/>
      <c r="Y153" s="20"/>
      <c r="Z153" s="20"/>
      <c r="AA153" s="4"/>
      <c r="AB153" s="20"/>
      <c r="AC153" s="21"/>
      <c r="AD153" s="21"/>
      <c r="AE153" s="21"/>
      <c r="AF153" s="14"/>
    </row>
    <row r="154" spans="1:32" s="10" customFormat="1" ht="14.25" customHeight="1" x14ac:dyDescent="0.3">
      <c r="A154" s="51"/>
      <c r="B154" s="21"/>
      <c r="C154" s="4"/>
      <c r="D154" s="4"/>
      <c r="E154" s="4"/>
      <c r="F154" s="4"/>
      <c r="G154" s="4"/>
      <c r="H154" s="4"/>
      <c r="I154" s="4"/>
      <c r="J154" s="21"/>
      <c r="K154" s="21"/>
      <c r="L154" s="21"/>
      <c r="M154" s="21"/>
      <c r="N154" s="21"/>
      <c r="O154" s="21"/>
      <c r="P154" s="21"/>
      <c r="Q154" s="21"/>
      <c r="R154" s="21"/>
      <c r="S154" s="21"/>
      <c r="T154" s="20"/>
      <c r="U154" s="21"/>
      <c r="V154" s="4"/>
      <c r="W154" s="4"/>
      <c r="X154" s="4"/>
      <c r="Y154" s="20"/>
      <c r="Z154" s="20"/>
      <c r="AA154" s="4"/>
      <c r="AB154" s="20"/>
      <c r="AC154" s="21"/>
      <c r="AD154" s="21"/>
      <c r="AE154" s="21"/>
    </row>
    <row r="155" spans="1:32" s="10" customFormat="1" ht="14.25" customHeight="1" x14ac:dyDescent="0.3">
      <c r="A155" s="51"/>
      <c r="B155" s="21"/>
      <c r="C155" s="4"/>
      <c r="D155" s="4"/>
      <c r="E155" s="4"/>
      <c r="F155" s="4"/>
      <c r="G155" s="4"/>
      <c r="H155" s="4"/>
      <c r="I155" s="4"/>
      <c r="J155" s="21"/>
      <c r="K155" s="21"/>
      <c r="L155" s="21"/>
      <c r="M155" s="21"/>
      <c r="N155" s="21"/>
      <c r="O155" s="21"/>
      <c r="P155" s="21"/>
      <c r="Q155" s="21"/>
      <c r="R155" s="21"/>
      <c r="S155" s="21"/>
      <c r="T155" s="20"/>
      <c r="U155" s="21"/>
      <c r="V155" s="4"/>
      <c r="W155" s="4"/>
      <c r="X155" s="4"/>
      <c r="Y155" s="20"/>
      <c r="Z155" s="20"/>
      <c r="AA155" s="4"/>
      <c r="AB155" s="20"/>
      <c r="AC155" s="21"/>
      <c r="AD155" s="21"/>
      <c r="AE155" s="21"/>
    </row>
    <row r="156" spans="1:32" s="10" customFormat="1" ht="14.25" customHeight="1" x14ac:dyDescent="0.3">
      <c r="A156" s="51"/>
      <c r="B156" s="21"/>
      <c r="C156" s="4"/>
      <c r="D156" s="4"/>
      <c r="E156" s="4"/>
      <c r="F156" s="4"/>
      <c r="G156" s="4"/>
      <c r="H156" s="4"/>
      <c r="I156" s="4"/>
      <c r="J156" s="21"/>
      <c r="K156" s="21"/>
      <c r="L156" s="21"/>
      <c r="M156" s="21"/>
      <c r="N156" s="21"/>
      <c r="O156" s="21"/>
      <c r="P156" s="21"/>
      <c r="Q156" s="21"/>
      <c r="R156" s="21"/>
      <c r="S156" s="21"/>
      <c r="T156" s="20"/>
      <c r="U156" s="21"/>
      <c r="V156" s="4"/>
      <c r="W156" s="4"/>
      <c r="X156" s="4"/>
      <c r="Y156" s="20"/>
      <c r="Z156" s="20"/>
      <c r="AA156" s="4"/>
      <c r="AB156" s="20"/>
      <c r="AC156" s="21"/>
      <c r="AD156" s="21"/>
      <c r="AE156" s="21"/>
    </row>
    <row r="157" spans="1:32" s="10" customFormat="1" ht="13.95" customHeight="1" x14ac:dyDescent="0.3">
      <c r="A157" s="51"/>
      <c r="B157" s="21"/>
      <c r="C157" s="4"/>
      <c r="D157" s="4"/>
      <c r="E157" s="4"/>
      <c r="F157" s="4"/>
      <c r="G157" s="4"/>
      <c r="H157" s="4"/>
      <c r="I157" s="4"/>
      <c r="J157" s="21"/>
      <c r="K157" s="21"/>
      <c r="L157" s="21"/>
      <c r="M157" s="21"/>
      <c r="N157" s="21"/>
      <c r="O157" s="21"/>
      <c r="P157" s="21"/>
      <c r="Q157" s="21"/>
      <c r="R157" s="21"/>
      <c r="S157" s="21"/>
      <c r="T157" s="20"/>
      <c r="U157" s="21"/>
      <c r="V157" s="4"/>
      <c r="W157" s="4"/>
      <c r="X157" s="4"/>
      <c r="Y157" s="20"/>
      <c r="Z157" s="20"/>
      <c r="AA157" s="4"/>
      <c r="AB157" s="20"/>
      <c r="AC157" s="21"/>
      <c r="AD157" s="21"/>
      <c r="AE157" s="21"/>
    </row>
    <row r="158" spans="1:32" s="10" customFormat="1" ht="14.25" customHeight="1" x14ac:dyDescent="0.3">
      <c r="A158" s="51"/>
      <c r="B158" s="21"/>
      <c r="C158" s="4"/>
      <c r="D158" s="4"/>
      <c r="E158" s="4"/>
      <c r="F158" s="4"/>
      <c r="G158" s="4"/>
      <c r="H158" s="4"/>
      <c r="I158" s="4"/>
      <c r="J158" s="21"/>
      <c r="K158" s="21"/>
      <c r="L158" s="21"/>
      <c r="M158" s="21"/>
      <c r="N158" s="21"/>
      <c r="O158" s="21"/>
      <c r="P158" s="21"/>
      <c r="Q158" s="21"/>
      <c r="R158" s="21"/>
      <c r="S158" s="21"/>
      <c r="T158" s="20"/>
      <c r="U158" s="21"/>
      <c r="V158" s="4"/>
      <c r="W158" s="4"/>
      <c r="X158" s="4"/>
      <c r="Y158" s="20"/>
      <c r="Z158" s="20"/>
      <c r="AA158" s="4"/>
      <c r="AB158" s="20"/>
      <c r="AC158" s="21"/>
      <c r="AD158" s="21"/>
      <c r="AE158" s="21"/>
    </row>
    <row r="159" spans="1:32" s="10" customFormat="1" ht="14.25" customHeight="1" x14ac:dyDescent="0.3">
      <c r="A159" s="51"/>
      <c r="B159" s="21"/>
      <c r="C159" s="4"/>
      <c r="D159" s="4"/>
      <c r="E159" s="4"/>
      <c r="F159" s="4"/>
      <c r="G159" s="4"/>
      <c r="H159" s="4"/>
      <c r="I159" s="4"/>
      <c r="J159" s="21"/>
      <c r="K159" s="21"/>
      <c r="L159" s="21"/>
      <c r="M159" s="21"/>
      <c r="N159" s="21"/>
      <c r="O159" s="21"/>
      <c r="P159" s="21"/>
      <c r="Q159" s="21"/>
      <c r="R159" s="21"/>
      <c r="S159" s="21"/>
      <c r="T159" s="20"/>
      <c r="U159" s="21"/>
      <c r="V159" s="4"/>
      <c r="W159" s="4"/>
      <c r="X159" s="4"/>
      <c r="Y159" s="20"/>
      <c r="Z159" s="20"/>
      <c r="AA159" s="4"/>
      <c r="AB159" s="20"/>
      <c r="AC159" s="21"/>
      <c r="AD159" s="21"/>
      <c r="AE159" s="21"/>
    </row>
    <row r="160" spans="1:32" s="10" customFormat="1" ht="14.25" customHeight="1" x14ac:dyDescent="0.3">
      <c r="A160" s="51"/>
      <c r="B160" s="21"/>
      <c r="C160" s="4"/>
      <c r="D160" s="4"/>
      <c r="E160" s="4"/>
      <c r="F160" s="4"/>
      <c r="G160" s="4"/>
      <c r="H160" s="4"/>
      <c r="I160" s="4"/>
      <c r="J160" s="21"/>
      <c r="K160" s="21"/>
      <c r="L160" s="21"/>
      <c r="M160" s="21"/>
      <c r="N160" s="21"/>
      <c r="O160" s="21"/>
      <c r="P160" s="21"/>
      <c r="Q160" s="21"/>
      <c r="R160" s="21"/>
      <c r="S160" s="21"/>
      <c r="T160" s="20"/>
      <c r="U160" s="21"/>
      <c r="V160" s="4"/>
      <c r="W160" s="4"/>
      <c r="X160" s="4"/>
      <c r="Y160" s="20"/>
      <c r="Z160" s="20"/>
      <c r="AA160" s="4"/>
      <c r="AB160" s="20"/>
      <c r="AC160" s="21"/>
      <c r="AD160" s="21"/>
      <c r="AE160" s="21"/>
    </row>
    <row r="161" spans="1:31" s="10" customFormat="1" ht="14.25" customHeight="1" x14ac:dyDescent="0.3">
      <c r="A161" s="51"/>
      <c r="B161" s="21"/>
      <c r="C161" s="4"/>
      <c r="D161" s="4"/>
      <c r="E161" s="4"/>
      <c r="F161" s="4"/>
      <c r="G161" s="4"/>
      <c r="H161" s="4"/>
      <c r="I161" s="4"/>
      <c r="J161" s="21"/>
      <c r="K161" s="21"/>
      <c r="L161" s="21"/>
      <c r="M161" s="21"/>
      <c r="N161" s="21"/>
      <c r="O161" s="21"/>
      <c r="P161" s="21"/>
      <c r="Q161" s="21"/>
      <c r="R161" s="21"/>
      <c r="S161" s="21"/>
      <c r="T161" s="20"/>
      <c r="U161" s="21"/>
      <c r="V161" s="4"/>
      <c r="W161" s="4"/>
      <c r="X161" s="4"/>
      <c r="Y161" s="20"/>
      <c r="Z161" s="20"/>
      <c r="AA161" s="4"/>
      <c r="AB161" s="20"/>
      <c r="AC161" s="21"/>
      <c r="AD161" s="21"/>
      <c r="AE161" s="21"/>
    </row>
    <row r="162" spans="1:31" s="10" customFormat="1" ht="14.25" customHeight="1" x14ac:dyDescent="0.3">
      <c r="A162" s="51"/>
      <c r="B162" s="21"/>
      <c r="C162" s="4"/>
      <c r="D162" s="4"/>
      <c r="E162" s="4"/>
      <c r="F162" s="4"/>
      <c r="G162" s="4"/>
      <c r="H162" s="4"/>
      <c r="I162" s="4"/>
      <c r="J162" s="21"/>
      <c r="K162" s="21"/>
      <c r="L162" s="21"/>
      <c r="M162" s="21"/>
      <c r="N162" s="21"/>
      <c r="O162" s="21"/>
      <c r="P162" s="21"/>
      <c r="Q162" s="21"/>
      <c r="R162" s="21"/>
      <c r="S162" s="21"/>
      <c r="T162" s="20"/>
      <c r="U162" s="21"/>
      <c r="V162" s="4"/>
      <c r="W162" s="4"/>
      <c r="X162" s="4"/>
      <c r="Y162" s="20"/>
      <c r="Z162" s="20"/>
      <c r="AA162" s="4"/>
      <c r="AB162" s="20"/>
      <c r="AC162" s="21"/>
      <c r="AD162" s="21"/>
      <c r="AE162" s="21"/>
    </row>
    <row r="163" spans="1:31" s="10" customFormat="1" ht="14.25" customHeight="1" x14ac:dyDescent="0.3">
      <c r="A163" s="51"/>
      <c r="B163" s="21"/>
      <c r="C163" s="4"/>
      <c r="D163" s="4"/>
      <c r="E163" s="4"/>
      <c r="F163" s="4"/>
      <c r="G163" s="4"/>
      <c r="H163" s="4"/>
      <c r="I163" s="4"/>
      <c r="J163" s="21"/>
      <c r="K163" s="21"/>
      <c r="L163" s="21"/>
      <c r="M163" s="21"/>
      <c r="N163" s="21"/>
      <c r="O163" s="21"/>
      <c r="P163" s="21"/>
      <c r="Q163" s="21"/>
      <c r="R163" s="21"/>
      <c r="S163" s="21"/>
      <c r="T163" s="20"/>
      <c r="U163" s="21"/>
      <c r="V163" s="4"/>
      <c r="W163" s="4"/>
      <c r="X163" s="4"/>
      <c r="Y163" s="20"/>
      <c r="Z163" s="20"/>
      <c r="AA163" s="4"/>
      <c r="AB163" s="20"/>
      <c r="AC163" s="21"/>
      <c r="AD163" s="21"/>
      <c r="AE163" s="21"/>
    </row>
    <row r="164" spans="1:31" s="10" customFormat="1" ht="14.25" customHeight="1" x14ac:dyDescent="0.3">
      <c r="A164" s="51"/>
      <c r="B164" s="21"/>
      <c r="C164" s="4"/>
      <c r="D164" s="4"/>
      <c r="E164" s="4"/>
      <c r="F164" s="4"/>
      <c r="G164" s="4"/>
      <c r="H164" s="4"/>
      <c r="I164" s="4"/>
      <c r="J164" s="21"/>
      <c r="K164" s="21"/>
      <c r="L164" s="21"/>
      <c r="M164" s="21"/>
      <c r="N164" s="21"/>
      <c r="O164" s="21"/>
      <c r="P164" s="21"/>
      <c r="Q164" s="21"/>
      <c r="R164" s="21"/>
      <c r="S164" s="21"/>
      <c r="T164" s="20"/>
      <c r="U164" s="21"/>
      <c r="V164" s="4"/>
      <c r="W164" s="4"/>
      <c r="X164" s="4"/>
      <c r="Y164" s="20"/>
      <c r="Z164" s="20"/>
      <c r="AA164" s="4"/>
      <c r="AB164" s="20"/>
      <c r="AC164" s="21"/>
      <c r="AD164" s="21"/>
      <c r="AE164" s="21"/>
    </row>
    <row r="165" spans="1:31" s="10" customFormat="1" ht="14.25" customHeight="1" x14ac:dyDescent="0.3">
      <c r="A165" s="51"/>
      <c r="B165" s="21"/>
      <c r="C165" s="4"/>
      <c r="D165" s="4"/>
      <c r="E165" s="4"/>
      <c r="F165" s="4"/>
      <c r="G165" s="4"/>
      <c r="H165" s="4"/>
      <c r="I165" s="4"/>
      <c r="J165" s="21"/>
      <c r="K165" s="21"/>
      <c r="L165" s="21"/>
      <c r="M165" s="21"/>
      <c r="N165" s="21"/>
      <c r="O165" s="21"/>
      <c r="P165" s="21"/>
      <c r="Q165" s="21"/>
      <c r="R165" s="21"/>
      <c r="S165" s="21"/>
      <c r="T165" s="20"/>
      <c r="U165" s="21"/>
      <c r="V165" s="4"/>
      <c r="W165" s="4"/>
      <c r="X165" s="4"/>
      <c r="Y165" s="20"/>
      <c r="Z165" s="20"/>
      <c r="AA165" s="4"/>
      <c r="AB165" s="20"/>
      <c r="AC165" s="21"/>
      <c r="AD165" s="21"/>
      <c r="AE165" s="21"/>
    </row>
    <row r="166" spans="1:31" s="10" customFormat="1" ht="14.25" customHeight="1" x14ac:dyDescent="0.3">
      <c r="A166" s="51"/>
      <c r="B166" s="21"/>
      <c r="C166" s="4"/>
      <c r="D166" s="4"/>
      <c r="E166" s="4"/>
      <c r="F166" s="4"/>
      <c r="G166" s="4"/>
      <c r="H166" s="4"/>
      <c r="I166" s="4"/>
      <c r="J166" s="21"/>
      <c r="K166" s="21"/>
      <c r="L166" s="21"/>
      <c r="M166" s="21"/>
      <c r="N166" s="21"/>
      <c r="O166" s="21"/>
      <c r="P166" s="21"/>
      <c r="Q166" s="21"/>
      <c r="R166" s="21"/>
      <c r="S166" s="21"/>
      <c r="T166" s="20"/>
      <c r="U166" s="21"/>
      <c r="V166" s="4"/>
      <c r="W166" s="4"/>
      <c r="X166" s="4"/>
      <c r="Y166" s="20"/>
      <c r="Z166" s="20"/>
      <c r="AA166" s="4"/>
      <c r="AB166" s="20"/>
      <c r="AC166" s="21"/>
      <c r="AD166" s="21"/>
      <c r="AE166" s="21"/>
    </row>
    <row r="167" spans="1:31" s="10" customFormat="1" ht="14.25" customHeight="1" x14ac:dyDescent="0.3">
      <c r="A167" s="51"/>
      <c r="B167" s="21"/>
      <c r="C167" s="4"/>
      <c r="D167" s="4"/>
      <c r="E167" s="4"/>
      <c r="F167" s="4"/>
      <c r="G167" s="4"/>
      <c r="H167" s="4"/>
      <c r="I167" s="4"/>
      <c r="J167" s="21"/>
      <c r="K167" s="21"/>
      <c r="L167" s="21"/>
      <c r="M167" s="21"/>
      <c r="N167" s="21"/>
      <c r="O167" s="21"/>
      <c r="P167" s="21"/>
      <c r="Q167" s="21"/>
      <c r="R167" s="21"/>
      <c r="S167" s="21"/>
      <c r="T167" s="20"/>
      <c r="U167" s="21"/>
      <c r="V167" s="4"/>
      <c r="W167" s="4"/>
      <c r="X167" s="4"/>
      <c r="Y167" s="20"/>
      <c r="Z167" s="20"/>
      <c r="AA167" s="4"/>
      <c r="AB167" s="20"/>
      <c r="AC167" s="21"/>
      <c r="AD167" s="21"/>
      <c r="AE167" s="21"/>
    </row>
    <row r="168" spans="1:31" s="10" customFormat="1" ht="14.25" customHeight="1" x14ac:dyDescent="0.3">
      <c r="A168" s="51"/>
      <c r="B168" s="21"/>
      <c r="C168" s="4"/>
      <c r="D168" s="4"/>
      <c r="E168" s="4"/>
      <c r="F168" s="4"/>
      <c r="G168" s="4"/>
      <c r="H168" s="4"/>
      <c r="I168" s="4"/>
      <c r="J168" s="21"/>
      <c r="K168" s="21"/>
      <c r="L168" s="21"/>
      <c r="M168" s="21"/>
      <c r="N168" s="21"/>
      <c r="O168" s="21"/>
      <c r="P168" s="21"/>
      <c r="Q168" s="21"/>
      <c r="R168" s="21"/>
      <c r="S168" s="21"/>
      <c r="T168" s="20"/>
      <c r="U168" s="21"/>
      <c r="V168" s="4"/>
      <c r="W168" s="4"/>
      <c r="X168" s="4"/>
      <c r="Y168" s="20"/>
      <c r="Z168" s="20"/>
      <c r="AA168" s="4"/>
      <c r="AB168" s="20"/>
      <c r="AC168" s="21"/>
      <c r="AD168" s="21"/>
      <c r="AE168" s="21"/>
    </row>
    <row r="169" spans="1:31" s="10" customFormat="1" ht="14.25" customHeight="1" x14ac:dyDescent="0.3">
      <c r="A169" s="51"/>
      <c r="B169" s="21"/>
      <c r="C169" s="4"/>
      <c r="D169" s="4"/>
      <c r="E169" s="4"/>
      <c r="F169" s="4"/>
      <c r="G169" s="4"/>
      <c r="H169" s="4"/>
      <c r="I169" s="4"/>
      <c r="J169" s="21"/>
      <c r="K169" s="21"/>
      <c r="L169" s="21"/>
      <c r="M169" s="21"/>
      <c r="N169" s="21"/>
      <c r="O169" s="21"/>
      <c r="P169" s="21"/>
      <c r="Q169" s="21"/>
      <c r="R169" s="21"/>
      <c r="S169" s="21"/>
      <c r="T169" s="20"/>
      <c r="U169" s="21"/>
      <c r="V169" s="4"/>
      <c r="W169" s="4"/>
      <c r="X169" s="4"/>
      <c r="Y169" s="20"/>
      <c r="Z169" s="20"/>
      <c r="AA169" s="4"/>
      <c r="AB169" s="20"/>
      <c r="AC169" s="21"/>
      <c r="AD169" s="21"/>
      <c r="AE169" s="21"/>
    </row>
    <row r="170" spans="1:31" s="10" customFormat="1" ht="14.25" customHeight="1" x14ac:dyDescent="0.3">
      <c r="A170" s="51"/>
      <c r="B170" s="21"/>
      <c r="C170" s="4"/>
      <c r="D170" s="4"/>
      <c r="E170" s="4"/>
      <c r="F170" s="4"/>
      <c r="G170" s="4"/>
      <c r="H170" s="4"/>
      <c r="I170" s="4"/>
      <c r="J170" s="21"/>
      <c r="K170" s="21"/>
      <c r="L170" s="21"/>
      <c r="M170" s="21"/>
      <c r="N170" s="21"/>
      <c r="O170" s="21"/>
      <c r="P170" s="21"/>
      <c r="Q170" s="21"/>
      <c r="R170" s="21"/>
      <c r="S170" s="21"/>
      <c r="T170" s="20"/>
      <c r="U170" s="21"/>
      <c r="V170" s="4"/>
      <c r="W170" s="4"/>
      <c r="X170" s="4"/>
      <c r="Y170" s="20"/>
      <c r="Z170" s="20"/>
      <c r="AA170" s="4"/>
      <c r="AB170" s="20"/>
      <c r="AC170" s="21"/>
      <c r="AD170" s="21"/>
      <c r="AE170" s="21"/>
    </row>
    <row r="171" spans="1:31" s="10" customFormat="1" ht="14.25" customHeight="1" x14ac:dyDescent="0.3">
      <c r="A171" s="51"/>
      <c r="B171" s="21"/>
      <c r="C171" s="4"/>
      <c r="D171" s="4"/>
      <c r="E171" s="4"/>
      <c r="F171" s="4"/>
      <c r="G171" s="4"/>
      <c r="H171" s="4"/>
      <c r="I171" s="4"/>
      <c r="J171" s="21"/>
      <c r="K171" s="21"/>
      <c r="L171" s="21"/>
      <c r="M171" s="21"/>
      <c r="N171" s="21"/>
      <c r="O171" s="21"/>
      <c r="P171" s="21"/>
      <c r="Q171" s="21"/>
      <c r="R171" s="21"/>
      <c r="S171" s="21"/>
      <c r="T171" s="20"/>
      <c r="U171" s="21"/>
      <c r="V171" s="4"/>
      <c r="W171" s="4"/>
      <c r="X171" s="4"/>
      <c r="Y171" s="20"/>
      <c r="Z171" s="20"/>
      <c r="AA171" s="4"/>
      <c r="AB171" s="20"/>
      <c r="AC171" s="21"/>
      <c r="AD171" s="21"/>
      <c r="AE171" s="21"/>
    </row>
    <row r="172" spans="1:31" s="10" customFormat="1" ht="14.25" customHeight="1" x14ac:dyDescent="0.3">
      <c r="A172" s="51"/>
      <c r="B172" s="21"/>
      <c r="C172" s="4"/>
      <c r="D172" s="4"/>
      <c r="E172" s="4"/>
      <c r="F172" s="4"/>
      <c r="G172" s="4"/>
      <c r="H172" s="4"/>
      <c r="I172" s="4"/>
      <c r="J172" s="21"/>
      <c r="K172" s="21"/>
      <c r="L172" s="21"/>
      <c r="M172" s="21"/>
      <c r="N172" s="21"/>
      <c r="O172" s="21"/>
      <c r="P172" s="21"/>
      <c r="Q172" s="21"/>
      <c r="R172" s="21"/>
      <c r="S172" s="21"/>
      <c r="T172" s="20"/>
      <c r="U172" s="21"/>
      <c r="V172" s="4"/>
      <c r="W172" s="4"/>
      <c r="X172" s="4"/>
      <c r="Y172" s="20"/>
      <c r="Z172" s="20"/>
      <c r="AA172" s="4"/>
      <c r="AB172" s="20"/>
      <c r="AC172" s="21"/>
      <c r="AD172" s="21"/>
      <c r="AE172" s="21"/>
    </row>
    <row r="173" spans="1:31" s="10" customFormat="1" ht="14.25" customHeight="1" x14ac:dyDescent="0.3">
      <c r="A173" s="51"/>
      <c r="B173" s="21"/>
      <c r="C173" s="4"/>
      <c r="D173" s="4"/>
      <c r="E173" s="4"/>
      <c r="F173" s="4"/>
      <c r="G173" s="4"/>
      <c r="H173" s="4"/>
      <c r="I173" s="4"/>
      <c r="J173" s="21"/>
      <c r="K173" s="21"/>
      <c r="L173" s="21"/>
      <c r="M173" s="21"/>
      <c r="N173" s="21"/>
      <c r="O173" s="21"/>
      <c r="P173" s="21"/>
      <c r="Q173" s="21"/>
      <c r="R173" s="21"/>
      <c r="S173" s="21"/>
      <c r="T173" s="20"/>
      <c r="U173" s="21"/>
      <c r="V173" s="4"/>
      <c r="W173" s="4"/>
      <c r="X173" s="4"/>
      <c r="Y173" s="20"/>
      <c r="Z173" s="20"/>
      <c r="AA173" s="4"/>
      <c r="AB173" s="20"/>
      <c r="AC173" s="21"/>
      <c r="AD173" s="21"/>
      <c r="AE173" s="21"/>
    </row>
    <row r="174" spans="1:31" s="10" customFormat="1" ht="14.25" customHeight="1" x14ac:dyDescent="0.3">
      <c r="A174" s="51"/>
      <c r="B174" s="21"/>
      <c r="C174" s="4"/>
      <c r="D174" s="4"/>
      <c r="E174" s="4"/>
      <c r="F174" s="4"/>
      <c r="G174" s="4"/>
      <c r="H174" s="4"/>
      <c r="I174" s="4"/>
      <c r="J174" s="21"/>
      <c r="K174" s="21"/>
      <c r="L174" s="21"/>
      <c r="M174" s="21"/>
      <c r="N174" s="21"/>
      <c r="O174" s="21"/>
      <c r="P174" s="21"/>
      <c r="Q174" s="21"/>
      <c r="R174" s="21"/>
      <c r="S174" s="21"/>
      <c r="T174" s="20"/>
      <c r="U174" s="21"/>
      <c r="V174" s="4"/>
      <c r="W174" s="4"/>
      <c r="X174" s="4"/>
      <c r="Y174" s="20"/>
      <c r="Z174" s="20"/>
      <c r="AA174" s="4"/>
      <c r="AB174" s="20"/>
      <c r="AC174" s="21"/>
      <c r="AD174" s="21"/>
      <c r="AE174" s="21"/>
    </row>
    <row r="175" spans="1:31" s="10" customFormat="1" ht="14.25" customHeight="1" x14ac:dyDescent="0.3">
      <c r="A175" s="51"/>
      <c r="B175" s="21"/>
      <c r="C175" s="4"/>
      <c r="D175" s="4"/>
      <c r="E175" s="4"/>
      <c r="F175" s="4"/>
      <c r="G175" s="4"/>
      <c r="H175" s="4"/>
      <c r="I175" s="4"/>
      <c r="J175" s="21"/>
      <c r="K175" s="21"/>
      <c r="L175" s="21"/>
      <c r="M175" s="21"/>
      <c r="N175" s="21"/>
      <c r="O175" s="21"/>
      <c r="P175" s="21"/>
      <c r="Q175" s="21"/>
      <c r="R175" s="21"/>
      <c r="S175" s="21"/>
      <c r="T175" s="20"/>
      <c r="U175" s="21"/>
      <c r="V175" s="4"/>
      <c r="W175" s="4"/>
      <c r="X175" s="4"/>
      <c r="Y175" s="20"/>
      <c r="Z175" s="20"/>
      <c r="AA175" s="4"/>
      <c r="AB175" s="20"/>
      <c r="AC175" s="21"/>
      <c r="AD175" s="21"/>
      <c r="AE175" s="21"/>
    </row>
    <row r="176" spans="1:31" s="10" customFormat="1" ht="14.25" customHeight="1" x14ac:dyDescent="0.3">
      <c r="A176" s="51"/>
      <c r="B176" s="21"/>
      <c r="C176" s="4"/>
      <c r="D176" s="4"/>
      <c r="E176" s="4"/>
      <c r="F176" s="4"/>
      <c r="G176" s="4"/>
      <c r="H176" s="4"/>
      <c r="I176" s="4"/>
      <c r="J176" s="21"/>
      <c r="K176" s="21"/>
      <c r="L176" s="21"/>
      <c r="M176" s="21"/>
      <c r="N176" s="21"/>
      <c r="O176" s="21"/>
      <c r="P176" s="21"/>
      <c r="Q176" s="21"/>
      <c r="R176" s="21"/>
      <c r="S176" s="21"/>
      <c r="T176" s="20"/>
      <c r="U176" s="21"/>
      <c r="V176" s="4"/>
      <c r="W176" s="4"/>
      <c r="X176" s="4"/>
      <c r="Y176" s="20"/>
      <c r="Z176" s="20"/>
      <c r="AA176" s="4"/>
      <c r="AB176" s="20"/>
      <c r="AC176" s="21"/>
      <c r="AD176" s="21"/>
      <c r="AE176" s="21"/>
    </row>
    <row r="177" spans="1:32" s="10" customFormat="1" ht="14.25" customHeight="1" x14ac:dyDescent="0.3">
      <c r="A177" s="51"/>
      <c r="B177" s="21"/>
      <c r="C177" s="4"/>
      <c r="D177" s="4"/>
      <c r="E177" s="4"/>
      <c r="F177" s="4"/>
      <c r="G177" s="4"/>
      <c r="H177" s="4"/>
      <c r="I177" s="4"/>
      <c r="J177" s="21"/>
      <c r="K177" s="21"/>
      <c r="L177" s="21"/>
      <c r="M177" s="21"/>
      <c r="N177" s="21"/>
      <c r="O177" s="21"/>
      <c r="P177" s="21"/>
      <c r="Q177" s="21"/>
      <c r="R177" s="21"/>
      <c r="S177" s="21"/>
      <c r="T177" s="20"/>
      <c r="U177" s="21"/>
      <c r="V177" s="4"/>
      <c r="W177" s="4"/>
      <c r="X177" s="4"/>
      <c r="Y177" s="20"/>
      <c r="Z177" s="20"/>
      <c r="AA177" s="4"/>
      <c r="AB177" s="20"/>
      <c r="AC177" s="21"/>
      <c r="AD177" s="21"/>
      <c r="AE177" s="21"/>
    </row>
    <row r="178" spans="1:32" s="15" customFormat="1" ht="14.25" customHeight="1" x14ac:dyDescent="0.3">
      <c r="A178" s="51"/>
      <c r="B178" s="21"/>
      <c r="C178" s="4"/>
      <c r="D178" s="4"/>
      <c r="E178" s="4"/>
      <c r="F178" s="4"/>
      <c r="G178" s="4"/>
      <c r="H178" s="4"/>
      <c r="I178" s="4"/>
      <c r="J178" s="21"/>
      <c r="K178" s="21"/>
      <c r="L178" s="21"/>
      <c r="M178" s="21"/>
      <c r="N178" s="21"/>
      <c r="O178" s="21"/>
      <c r="P178" s="21"/>
      <c r="Q178" s="21"/>
      <c r="R178" s="21"/>
      <c r="S178" s="21"/>
      <c r="T178" s="20"/>
      <c r="U178" s="21"/>
      <c r="V178" s="4"/>
      <c r="W178" s="4"/>
      <c r="X178" s="4"/>
      <c r="Y178" s="20"/>
      <c r="Z178" s="20"/>
      <c r="AA178" s="4"/>
      <c r="AB178" s="20"/>
      <c r="AC178" s="21"/>
      <c r="AD178" s="21"/>
      <c r="AE178" s="21"/>
      <c r="AF178" s="10"/>
    </row>
    <row r="179" spans="1:32" s="10" customFormat="1" ht="14.25" customHeight="1" x14ac:dyDescent="0.3">
      <c r="A179" s="51"/>
      <c r="B179" s="21"/>
      <c r="C179" s="4"/>
      <c r="D179" s="4"/>
      <c r="E179" s="4"/>
      <c r="F179" s="4"/>
      <c r="G179" s="4"/>
      <c r="H179" s="4"/>
      <c r="I179" s="4"/>
      <c r="J179" s="21"/>
      <c r="K179" s="21"/>
      <c r="L179" s="21"/>
      <c r="M179" s="21"/>
      <c r="N179" s="21"/>
      <c r="O179" s="21"/>
      <c r="P179" s="21"/>
      <c r="Q179" s="21"/>
      <c r="R179" s="21"/>
      <c r="S179" s="21"/>
      <c r="T179" s="20"/>
      <c r="U179" s="21"/>
      <c r="V179" s="4"/>
      <c r="W179" s="4"/>
      <c r="X179" s="4"/>
      <c r="Y179" s="20"/>
      <c r="Z179" s="20"/>
      <c r="AA179" s="4"/>
      <c r="AB179" s="20"/>
      <c r="AC179" s="21"/>
      <c r="AD179" s="21"/>
      <c r="AE179" s="21"/>
    </row>
    <row r="180" spans="1:32" s="10" customFormat="1" ht="14.25" customHeight="1" x14ac:dyDescent="0.3">
      <c r="A180" s="51"/>
      <c r="B180" s="21"/>
      <c r="C180" s="4"/>
      <c r="D180" s="4"/>
      <c r="E180" s="4"/>
      <c r="F180" s="4"/>
      <c r="G180" s="4"/>
      <c r="H180" s="4"/>
      <c r="I180" s="4"/>
      <c r="J180" s="21"/>
      <c r="K180" s="21"/>
      <c r="L180" s="21"/>
      <c r="M180" s="21"/>
      <c r="N180" s="21"/>
      <c r="O180" s="21"/>
      <c r="P180" s="21"/>
      <c r="Q180" s="21"/>
      <c r="R180" s="21"/>
      <c r="S180" s="21"/>
      <c r="T180" s="20"/>
      <c r="U180" s="21"/>
      <c r="V180" s="4"/>
      <c r="W180" s="4"/>
      <c r="X180" s="4"/>
      <c r="Y180" s="20"/>
      <c r="Z180" s="20"/>
      <c r="AA180" s="4"/>
      <c r="AB180" s="20"/>
      <c r="AC180" s="21"/>
      <c r="AD180" s="21"/>
      <c r="AE180" s="21"/>
    </row>
    <row r="181" spans="1:32" s="10" customFormat="1" ht="14.25" customHeight="1" x14ac:dyDescent="0.3">
      <c r="A181" s="51"/>
      <c r="B181" s="21"/>
      <c r="C181" s="4"/>
      <c r="D181" s="4"/>
      <c r="E181" s="4"/>
      <c r="F181" s="4"/>
      <c r="G181" s="4"/>
      <c r="H181" s="4"/>
      <c r="I181" s="4"/>
      <c r="J181" s="21"/>
      <c r="K181" s="21"/>
      <c r="L181" s="21"/>
      <c r="M181" s="21"/>
      <c r="N181" s="21"/>
      <c r="O181" s="21"/>
      <c r="P181" s="21"/>
      <c r="Q181" s="21"/>
      <c r="R181" s="21"/>
      <c r="S181" s="21"/>
      <c r="T181" s="20"/>
      <c r="U181" s="21"/>
      <c r="V181" s="4"/>
      <c r="W181" s="4"/>
      <c r="X181" s="4"/>
      <c r="Y181" s="20"/>
      <c r="Z181" s="20"/>
      <c r="AA181" s="4"/>
      <c r="AB181" s="20"/>
      <c r="AC181" s="21"/>
      <c r="AD181" s="21"/>
      <c r="AE181" s="21"/>
    </row>
    <row r="182" spans="1:32" s="10" customFormat="1" ht="14.25" customHeight="1" x14ac:dyDescent="0.3">
      <c r="A182" s="51"/>
      <c r="B182" s="21"/>
      <c r="C182" s="4"/>
      <c r="D182" s="4"/>
      <c r="E182" s="4"/>
      <c r="F182" s="4"/>
      <c r="G182" s="4"/>
      <c r="H182" s="4"/>
      <c r="I182" s="4"/>
      <c r="J182" s="21"/>
      <c r="K182" s="21"/>
      <c r="L182" s="21"/>
      <c r="M182" s="21"/>
      <c r="N182" s="21"/>
      <c r="O182" s="21"/>
      <c r="P182" s="21"/>
      <c r="Q182" s="21"/>
      <c r="R182" s="21"/>
      <c r="S182" s="21"/>
      <c r="T182" s="20"/>
      <c r="U182" s="21"/>
      <c r="V182" s="4"/>
      <c r="W182" s="4"/>
      <c r="X182" s="4"/>
      <c r="Y182" s="20"/>
      <c r="Z182" s="20"/>
      <c r="AA182" s="4"/>
      <c r="AB182" s="20"/>
      <c r="AC182" s="21"/>
      <c r="AD182" s="21"/>
      <c r="AE182" s="21"/>
      <c r="AF182" s="15"/>
    </row>
    <row r="183" spans="1:32" s="10" customFormat="1" ht="14.25" customHeight="1" x14ac:dyDescent="0.3">
      <c r="A183" s="51"/>
      <c r="B183" s="21"/>
      <c r="C183" s="4"/>
      <c r="D183" s="4"/>
      <c r="E183" s="4"/>
      <c r="F183" s="4"/>
      <c r="G183" s="4"/>
      <c r="H183" s="4"/>
      <c r="I183" s="4"/>
      <c r="J183" s="21"/>
      <c r="K183" s="21"/>
      <c r="L183" s="21"/>
      <c r="M183" s="21"/>
      <c r="N183" s="21"/>
      <c r="O183" s="21"/>
      <c r="P183" s="21"/>
      <c r="Q183" s="21"/>
      <c r="R183" s="21"/>
      <c r="S183" s="21"/>
      <c r="T183" s="20"/>
      <c r="U183" s="21"/>
      <c r="V183" s="4"/>
      <c r="W183" s="4"/>
      <c r="X183" s="4"/>
      <c r="Y183" s="20"/>
      <c r="Z183" s="20"/>
      <c r="AA183" s="4"/>
      <c r="AB183" s="20"/>
      <c r="AC183" s="21"/>
      <c r="AD183" s="21"/>
      <c r="AE183" s="21"/>
    </row>
    <row r="184" spans="1:32" s="10" customFormat="1" ht="14.25" customHeight="1" x14ac:dyDescent="0.3">
      <c r="A184" s="51"/>
      <c r="B184" s="21"/>
      <c r="C184" s="4"/>
      <c r="D184" s="4"/>
      <c r="E184" s="4"/>
      <c r="F184" s="4"/>
      <c r="G184" s="4"/>
      <c r="H184" s="4"/>
      <c r="I184" s="4"/>
      <c r="J184" s="21"/>
      <c r="K184" s="21"/>
      <c r="L184" s="21"/>
      <c r="M184" s="21"/>
      <c r="N184" s="21"/>
      <c r="O184" s="21"/>
      <c r="P184" s="21"/>
      <c r="Q184" s="21"/>
      <c r="R184" s="21"/>
      <c r="S184" s="21"/>
      <c r="T184" s="20"/>
      <c r="U184" s="21"/>
      <c r="V184" s="4"/>
      <c r="W184" s="4"/>
      <c r="X184" s="4"/>
      <c r="Y184" s="20"/>
      <c r="Z184" s="20"/>
      <c r="AA184" s="4"/>
      <c r="AB184" s="20"/>
      <c r="AC184" s="21"/>
      <c r="AD184" s="21"/>
      <c r="AE184" s="21"/>
    </row>
    <row r="185" spans="1:32" s="10" customFormat="1" ht="14.25" customHeight="1" x14ac:dyDescent="0.3">
      <c r="A185" s="51"/>
      <c r="B185" s="21"/>
      <c r="C185" s="4"/>
      <c r="D185" s="4"/>
      <c r="E185" s="4"/>
      <c r="F185" s="4"/>
      <c r="G185" s="4"/>
      <c r="H185" s="4"/>
      <c r="I185" s="4"/>
      <c r="J185" s="21"/>
      <c r="K185" s="21"/>
      <c r="L185" s="21"/>
      <c r="M185" s="21"/>
      <c r="N185" s="21"/>
      <c r="O185" s="21"/>
      <c r="P185" s="21"/>
      <c r="Q185" s="21"/>
      <c r="R185" s="21"/>
      <c r="S185" s="21"/>
      <c r="T185" s="20"/>
      <c r="U185" s="21"/>
      <c r="V185" s="4"/>
      <c r="W185" s="4"/>
      <c r="X185" s="4"/>
      <c r="Y185" s="20"/>
      <c r="Z185" s="20"/>
      <c r="AA185" s="4"/>
      <c r="AB185" s="20"/>
      <c r="AC185" s="21"/>
      <c r="AD185" s="21"/>
      <c r="AE185" s="21"/>
    </row>
    <row r="186" spans="1:32" s="10" customFormat="1" x14ac:dyDescent="0.3">
      <c r="A186" s="51"/>
      <c r="B186" s="21"/>
      <c r="C186" s="4"/>
      <c r="D186" s="4"/>
      <c r="E186" s="4"/>
      <c r="F186" s="4"/>
      <c r="G186" s="4"/>
      <c r="H186" s="4"/>
      <c r="I186" s="4"/>
      <c r="J186" s="21"/>
      <c r="K186" s="21"/>
      <c r="L186" s="21"/>
      <c r="M186" s="21"/>
      <c r="N186" s="21"/>
      <c r="O186" s="21"/>
      <c r="P186" s="21"/>
      <c r="Q186" s="21"/>
      <c r="R186" s="21"/>
      <c r="S186" s="21"/>
      <c r="T186" s="20"/>
      <c r="U186" s="21"/>
      <c r="V186" s="4"/>
      <c r="W186" s="4"/>
      <c r="X186" s="4"/>
      <c r="Y186" s="20"/>
      <c r="Z186" s="20"/>
      <c r="AA186" s="4"/>
      <c r="AB186" s="20"/>
      <c r="AC186" s="21"/>
      <c r="AD186" s="21"/>
      <c r="AE186" s="21"/>
    </row>
    <row r="187" spans="1:32" s="10" customFormat="1" ht="14.25" customHeight="1" x14ac:dyDescent="0.3">
      <c r="A187" s="51"/>
      <c r="B187" s="21"/>
      <c r="C187" s="4"/>
      <c r="D187" s="4"/>
      <c r="E187" s="4"/>
      <c r="F187" s="4"/>
      <c r="G187" s="4"/>
      <c r="H187" s="4"/>
      <c r="I187" s="4"/>
      <c r="J187" s="21"/>
      <c r="K187" s="21"/>
      <c r="L187" s="21"/>
      <c r="M187" s="21"/>
      <c r="N187" s="21"/>
      <c r="O187" s="21"/>
      <c r="P187" s="21"/>
      <c r="Q187" s="21"/>
      <c r="R187" s="21"/>
      <c r="S187" s="21"/>
      <c r="T187" s="20"/>
      <c r="U187" s="21"/>
      <c r="V187" s="4"/>
      <c r="W187" s="4"/>
      <c r="X187" s="4"/>
      <c r="Y187" s="20"/>
      <c r="Z187" s="20"/>
      <c r="AA187" s="4"/>
      <c r="AB187" s="20"/>
      <c r="AC187" s="21"/>
      <c r="AD187" s="21"/>
      <c r="AE187" s="21"/>
    </row>
    <row r="188" spans="1:32" s="10" customFormat="1" ht="14.25" customHeight="1" x14ac:dyDescent="0.3">
      <c r="A188" s="51"/>
      <c r="B188" s="21"/>
      <c r="C188" s="4"/>
      <c r="D188" s="4"/>
      <c r="E188" s="4"/>
      <c r="F188" s="4"/>
      <c r="G188" s="4"/>
      <c r="H188" s="4"/>
      <c r="I188" s="4"/>
      <c r="J188" s="21"/>
      <c r="K188" s="21"/>
      <c r="L188" s="21"/>
      <c r="M188" s="21"/>
      <c r="N188" s="21"/>
      <c r="O188" s="21"/>
      <c r="P188" s="21"/>
      <c r="Q188" s="21"/>
      <c r="R188" s="21"/>
      <c r="S188" s="21"/>
      <c r="T188" s="20"/>
      <c r="U188" s="21"/>
      <c r="V188" s="4"/>
      <c r="W188" s="4"/>
      <c r="X188" s="4"/>
      <c r="Y188" s="20"/>
      <c r="Z188" s="20"/>
      <c r="AA188" s="4"/>
      <c r="AB188" s="20"/>
      <c r="AC188" s="21"/>
      <c r="AD188" s="21"/>
      <c r="AE188" s="21"/>
    </row>
    <row r="189" spans="1:32" s="10" customFormat="1" ht="12" customHeight="1" x14ac:dyDescent="0.3">
      <c r="A189" s="51"/>
      <c r="B189" s="21"/>
      <c r="C189" s="4"/>
      <c r="D189" s="4"/>
      <c r="E189" s="4"/>
      <c r="F189" s="4"/>
      <c r="G189" s="4"/>
      <c r="H189" s="4"/>
      <c r="I189" s="4"/>
      <c r="J189" s="21"/>
      <c r="K189" s="21"/>
      <c r="L189" s="21"/>
      <c r="M189" s="21"/>
      <c r="N189" s="21"/>
      <c r="O189" s="21"/>
      <c r="P189" s="21"/>
      <c r="Q189" s="21"/>
      <c r="R189" s="21"/>
      <c r="S189" s="21"/>
      <c r="T189" s="20"/>
      <c r="U189" s="21"/>
      <c r="V189" s="4"/>
      <c r="W189" s="4"/>
      <c r="X189" s="4"/>
      <c r="Y189" s="20"/>
      <c r="Z189" s="20"/>
      <c r="AA189" s="4"/>
      <c r="AB189" s="20"/>
      <c r="AC189" s="21"/>
      <c r="AD189" s="21"/>
      <c r="AE189" s="21"/>
    </row>
    <row r="190" spans="1:32" s="10" customFormat="1" x14ac:dyDescent="0.3">
      <c r="A190" s="51"/>
      <c r="B190" s="21"/>
      <c r="C190" s="4"/>
      <c r="D190" s="4"/>
      <c r="E190" s="4"/>
      <c r="F190" s="4"/>
      <c r="G190" s="4"/>
      <c r="H190" s="4"/>
      <c r="I190" s="4"/>
      <c r="J190" s="21"/>
      <c r="K190" s="21"/>
      <c r="L190" s="21"/>
      <c r="M190" s="21"/>
      <c r="N190" s="21"/>
      <c r="O190" s="21"/>
      <c r="P190" s="21"/>
      <c r="Q190" s="21"/>
      <c r="R190" s="21"/>
      <c r="S190" s="21"/>
      <c r="T190" s="20"/>
      <c r="U190" s="21"/>
      <c r="V190" s="4"/>
      <c r="W190" s="4"/>
      <c r="X190" s="4"/>
      <c r="Y190" s="20"/>
      <c r="Z190" s="20"/>
      <c r="AA190" s="4"/>
      <c r="AB190" s="20"/>
      <c r="AC190" s="21"/>
      <c r="AD190" s="21"/>
      <c r="AE190" s="21"/>
    </row>
    <row r="191" spans="1:32" s="10" customFormat="1" x14ac:dyDescent="0.3">
      <c r="A191" s="51"/>
      <c r="B191" s="21"/>
      <c r="C191" s="4"/>
      <c r="D191" s="4"/>
      <c r="E191" s="4"/>
      <c r="F191" s="4"/>
      <c r="G191" s="4"/>
      <c r="H191" s="4"/>
      <c r="I191" s="4"/>
      <c r="J191" s="21"/>
      <c r="K191" s="21"/>
      <c r="L191" s="21"/>
      <c r="M191" s="21"/>
      <c r="N191" s="21"/>
      <c r="O191" s="21"/>
      <c r="P191" s="21"/>
      <c r="Q191" s="21"/>
      <c r="R191" s="21"/>
      <c r="S191" s="21"/>
      <c r="T191" s="20"/>
      <c r="U191" s="21"/>
      <c r="V191" s="4"/>
      <c r="W191" s="4"/>
      <c r="X191" s="4"/>
      <c r="Y191" s="20"/>
      <c r="Z191" s="20"/>
      <c r="AA191" s="4"/>
      <c r="AB191" s="20"/>
      <c r="AC191" s="21"/>
      <c r="AD191" s="21"/>
      <c r="AE191" s="21"/>
    </row>
    <row r="192" spans="1:32" s="10" customFormat="1" x14ac:dyDescent="0.3">
      <c r="A192" s="51"/>
      <c r="B192" s="21"/>
      <c r="C192" s="4"/>
      <c r="D192" s="4"/>
      <c r="E192" s="4"/>
      <c r="F192" s="4"/>
      <c r="G192" s="4"/>
      <c r="H192" s="4"/>
      <c r="I192" s="4"/>
      <c r="J192" s="21"/>
      <c r="K192" s="21"/>
      <c r="L192" s="21"/>
      <c r="M192" s="21"/>
      <c r="N192" s="21"/>
      <c r="O192" s="21"/>
      <c r="P192" s="21"/>
      <c r="Q192" s="21"/>
      <c r="R192" s="21"/>
      <c r="S192" s="21"/>
      <c r="T192" s="20"/>
      <c r="U192" s="21"/>
      <c r="V192" s="4"/>
      <c r="W192" s="4"/>
      <c r="X192" s="4"/>
      <c r="Y192" s="20"/>
      <c r="Z192" s="20"/>
      <c r="AA192" s="4"/>
      <c r="AB192" s="20"/>
      <c r="AC192" s="21"/>
      <c r="AD192" s="21"/>
      <c r="AE192" s="21"/>
    </row>
    <row r="193" spans="1:32" s="10" customFormat="1" x14ac:dyDescent="0.3">
      <c r="A193" s="51"/>
      <c r="B193" s="21"/>
      <c r="C193" s="4"/>
      <c r="D193" s="4"/>
      <c r="E193" s="4"/>
      <c r="F193" s="4"/>
      <c r="G193" s="4"/>
      <c r="H193" s="4"/>
      <c r="I193" s="4"/>
      <c r="J193" s="21"/>
      <c r="K193" s="21"/>
      <c r="L193" s="21"/>
      <c r="M193" s="21"/>
      <c r="N193" s="21"/>
      <c r="O193" s="21"/>
      <c r="P193" s="21"/>
      <c r="Q193" s="21"/>
      <c r="R193" s="21"/>
      <c r="S193" s="21"/>
      <c r="T193" s="20"/>
      <c r="U193" s="21"/>
      <c r="V193" s="4"/>
      <c r="W193" s="4"/>
      <c r="X193" s="4"/>
      <c r="Y193" s="20"/>
      <c r="Z193" s="20"/>
      <c r="AA193" s="4"/>
      <c r="AB193" s="20"/>
      <c r="AC193" s="21"/>
      <c r="AD193" s="21"/>
      <c r="AE193" s="21"/>
    </row>
    <row r="194" spans="1:32" s="10" customFormat="1" x14ac:dyDescent="0.3">
      <c r="A194" s="51"/>
      <c r="B194" s="21"/>
      <c r="C194" s="4"/>
      <c r="D194" s="4"/>
      <c r="E194" s="4"/>
      <c r="F194" s="4"/>
      <c r="G194" s="4"/>
      <c r="H194" s="4"/>
      <c r="I194" s="4"/>
      <c r="J194" s="21"/>
      <c r="K194" s="21"/>
      <c r="L194" s="21"/>
      <c r="M194" s="21"/>
      <c r="N194" s="21"/>
      <c r="O194" s="21"/>
      <c r="P194" s="21"/>
      <c r="Q194" s="21"/>
      <c r="R194" s="21"/>
      <c r="S194" s="21"/>
      <c r="T194" s="20"/>
      <c r="U194" s="21"/>
      <c r="V194" s="4"/>
      <c r="W194" s="4"/>
      <c r="X194" s="4"/>
      <c r="Y194" s="20"/>
      <c r="Z194" s="20"/>
      <c r="AA194" s="4"/>
      <c r="AB194" s="20"/>
      <c r="AC194" s="21"/>
      <c r="AD194" s="21"/>
      <c r="AE194" s="21"/>
    </row>
    <row r="195" spans="1:32" s="10" customFormat="1" x14ac:dyDescent="0.3">
      <c r="A195" s="51"/>
      <c r="B195" s="21"/>
      <c r="C195" s="4"/>
      <c r="D195" s="4"/>
      <c r="E195" s="4"/>
      <c r="F195" s="4"/>
      <c r="G195" s="4"/>
      <c r="H195" s="4"/>
      <c r="I195" s="4"/>
      <c r="J195" s="21"/>
      <c r="K195" s="21"/>
      <c r="L195" s="21"/>
      <c r="M195" s="21"/>
      <c r="N195" s="21"/>
      <c r="O195" s="21"/>
      <c r="P195" s="21"/>
      <c r="Q195" s="21"/>
      <c r="R195" s="21"/>
      <c r="S195" s="21"/>
      <c r="T195" s="20"/>
      <c r="U195" s="21"/>
      <c r="V195" s="4"/>
      <c r="W195" s="4"/>
      <c r="X195" s="4"/>
      <c r="Y195" s="20"/>
      <c r="Z195" s="20"/>
      <c r="AA195" s="4"/>
      <c r="AB195" s="20"/>
      <c r="AC195" s="21"/>
      <c r="AD195" s="21"/>
      <c r="AE195" s="21"/>
    </row>
    <row r="196" spans="1:32" x14ac:dyDescent="0.3">
      <c r="AF196" s="10"/>
    </row>
    <row r="197" spans="1:32" s="10" customFormat="1" x14ac:dyDescent="0.3">
      <c r="A197" s="51"/>
      <c r="B197" s="21"/>
      <c r="C197" s="4"/>
      <c r="D197" s="4"/>
      <c r="E197" s="4"/>
      <c r="F197" s="4"/>
      <c r="G197" s="4"/>
      <c r="H197" s="4"/>
      <c r="I197" s="4"/>
      <c r="J197" s="21"/>
      <c r="K197" s="21"/>
      <c r="L197" s="21"/>
      <c r="M197" s="21"/>
      <c r="N197" s="21"/>
      <c r="O197" s="21"/>
      <c r="P197" s="21"/>
      <c r="Q197" s="21"/>
      <c r="R197" s="21"/>
      <c r="S197" s="21"/>
      <c r="T197" s="20"/>
      <c r="U197" s="21"/>
      <c r="V197" s="4"/>
      <c r="W197" s="4"/>
      <c r="X197" s="4"/>
      <c r="Y197" s="20"/>
      <c r="Z197" s="20"/>
      <c r="AA197" s="4"/>
      <c r="AB197" s="20"/>
      <c r="AC197" s="21"/>
      <c r="AD197" s="21"/>
      <c r="AE197" s="21"/>
    </row>
    <row r="198" spans="1:32" s="10" customFormat="1" x14ac:dyDescent="0.3">
      <c r="A198" s="51"/>
      <c r="B198" s="21"/>
      <c r="C198" s="4"/>
      <c r="D198" s="4"/>
      <c r="E198" s="4"/>
      <c r="F198" s="4"/>
      <c r="G198" s="4"/>
      <c r="H198" s="4"/>
      <c r="I198" s="4"/>
      <c r="J198" s="21"/>
      <c r="K198" s="21"/>
      <c r="L198" s="21"/>
      <c r="M198" s="21"/>
      <c r="N198" s="21"/>
      <c r="O198" s="21"/>
      <c r="P198" s="21"/>
      <c r="Q198" s="21"/>
      <c r="R198" s="21"/>
      <c r="S198" s="21"/>
      <c r="T198" s="20"/>
      <c r="U198" s="21"/>
      <c r="V198" s="4"/>
      <c r="W198" s="4"/>
      <c r="X198" s="4"/>
      <c r="Y198" s="20"/>
      <c r="Z198" s="20"/>
      <c r="AA198" s="4"/>
      <c r="AB198" s="20"/>
      <c r="AC198" s="21"/>
      <c r="AD198" s="21"/>
      <c r="AE198" s="21"/>
    </row>
    <row r="199" spans="1:32" s="10" customFormat="1" x14ac:dyDescent="0.3">
      <c r="A199" s="51"/>
      <c r="B199" s="21"/>
      <c r="C199" s="4"/>
      <c r="D199" s="4"/>
      <c r="E199" s="4"/>
      <c r="F199" s="4"/>
      <c r="G199" s="4"/>
      <c r="H199" s="4"/>
      <c r="I199" s="4"/>
      <c r="J199" s="21"/>
      <c r="K199" s="21"/>
      <c r="L199" s="21"/>
      <c r="M199" s="21"/>
      <c r="N199" s="21"/>
      <c r="O199" s="21"/>
      <c r="P199" s="21"/>
      <c r="Q199" s="21"/>
      <c r="R199" s="21"/>
      <c r="S199" s="21"/>
      <c r="T199" s="20"/>
      <c r="U199" s="21"/>
      <c r="V199" s="4"/>
      <c r="W199" s="4"/>
      <c r="X199" s="4"/>
      <c r="Y199" s="20"/>
      <c r="Z199" s="20"/>
      <c r="AA199" s="4"/>
      <c r="AB199" s="20"/>
      <c r="AC199" s="21"/>
      <c r="AD199" s="21"/>
      <c r="AE199" s="21"/>
    </row>
    <row r="200" spans="1:32" s="10" customFormat="1" x14ac:dyDescent="0.3">
      <c r="A200" s="51"/>
      <c r="B200" s="21"/>
      <c r="C200" s="4"/>
      <c r="D200" s="4"/>
      <c r="E200" s="4"/>
      <c r="F200" s="4"/>
      <c r="G200" s="4"/>
      <c r="H200" s="4"/>
      <c r="I200" s="4"/>
      <c r="J200" s="21"/>
      <c r="K200" s="21"/>
      <c r="L200" s="21"/>
      <c r="M200" s="21"/>
      <c r="N200" s="21"/>
      <c r="O200" s="21"/>
      <c r="P200" s="21"/>
      <c r="Q200" s="21"/>
      <c r="R200" s="21"/>
      <c r="S200" s="21"/>
      <c r="T200" s="20"/>
      <c r="U200" s="21"/>
      <c r="V200" s="4"/>
      <c r="W200" s="4"/>
      <c r="X200" s="4"/>
      <c r="Y200" s="20"/>
      <c r="Z200" s="20"/>
      <c r="AA200" s="4"/>
      <c r="AB200" s="20"/>
      <c r="AC200" s="21"/>
      <c r="AD200" s="21"/>
      <c r="AE200" s="21"/>
      <c r="AF200" s="12"/>
    </row>
    <row r="201" spans="1:32" s="10" customFormat="1" x14ac:dyDescent="0.3">
      <c r="A201" s="51"/>
      <c r="B201" s="21"/>
      <c r="C201" s="4"/>
      <c r="D201" s="4"/>
      <c r="E201" s="4"/>
      <c r="F201" s="4"/>
      <c r="G201" s="4"/>
      <c r="H201" s="4"/>
      <c r="I201" s="4"/>
      <c r="J201" s="21"/>
      <c r="K201" s="21"/>
      <c r="L201" s="21"/>
      <c r="M201" s="21"/>
      <c r="N201" s="21"/>
      <c r="O201" s="21"/>
      <c r="P201" s="21"/>
      <c r="Q201" s="21"/>
      <c r="R201" s="21"/>
      <c r="S201" s="21"/>
      <c r="T201" s="20"/>
      <c r="U201" s="21"/>
      <c r="V201" s="4"/>
      <c r="W201" s="4"/>
      <c r="X201" s="4"/>
      <c r="Y201" s="20"/>
      <c r="Z201" s="20"/>
      <c r="AA201" s="4"/>
      <c r="AB201" s="20"/>
      <c r="AC201" s="21"/>
      <c r="AD201" s="21"/>
      <c r="AE201" s="21"/>
    </row>
    <row r="202" spans="1:32" s="10" customFormat="1" x14ac:dyDescent="0.3">
      <c r="A202" s="51"/>
      <c r="B202" s="21"/>
      <c r="C202" s="4"/>
      <c r="D202" s="4"/>
      <c r="E202" s="4"/>
      <c r="F202" s="4"/>
      <c r="G202" s="4"/>
      <c r="H202" s="4"/>
      <c r="I202" s="4"/>
      <c r="J202" s="21"/>
      <c r="K202" s="21"/>
      <c r="L202" s="21"/>
      <c r="M202" s="21"/>
      <c r="N202" s="21"/>
      <c r="O202" s="21"/>
      <c r="P202" s="21"/>
      <c r="Q202" s="21"/>
      <c r="R202" s="21"/>
      <c r="S202" s="21"/>
      <c r="T202" s="20"/>
      <c r="U202" s="21"/>
      <c r="V202" s="4"/>
      <c r="W202" s="4"/>
      <c r="X202" s="4"/>
      <c r="Y202" s="20"/>
      <c r="Z202" s="20"/>
      <c r="AA202" s="4"/>
      <c r="AB202" s="20"/>
      <c r="AC202" s="21"/>
      <c r="AD202" s="21"/>
      <c r="AE202" s="21"/>
    </row>
    <row r="203" spans="1:32" s="10" customFormat="1" x14ac:dyDescent="0.3">
      <c r="A203" s="51"/>
      <c r="B203" s="21"/>
      <c r="C203" s="4"/>
      <c r="D203" s="4"/>
      <c r="E203" s="4"/>
      <c r="F203" s="4"/>
      <c r="G203" s="4"/>
      <c r="H203" s="4"/>
      <c r="I203" s="4"/>
      <c r="J203" s="21"/>
      <c r="K203" s="21"/>
      <c r="L203" s="21"/>
      <c r="M203" s="21"/>
      <c r="N203" s="21"/>
      <c r="O203" s="21"/>
      <c r="P203" s="21"/>
      <c r="Q203" s="21"/>
      <c r="R203" s="21"/>
      <c r="S203" s="21"/>
      <c r="T203" s="20"/>
      <c r="U203" s="21"/>
      <c r="V203" s="4"/>
      <c r="W203" s="4"/>
      <c r="X203" s="4"/>
      <c r="Y203" s="20"/>
      <c r="Z203" s="20"/>
      <c r="AA203" s="4"/>
      <c r="AB203" s="20"/>
      <c r="AC203" s="21"/>
      <c r="AD203" s="21"/>
      <c r="AE203" s="21"/>
    </row>
    <row r="204" spans="1:32" s="10" customFormat="1" x14ac:dyDescent="0.3">
      <c r="A204" s="51"/>
      <c r="B204" s="21"/>
      <c r="C204" s="4"/>
      <c r="D204" s="4"/>
      <c r="E204" s="4"/>
      <c r="F204" s="4"/>
      <c r="G204" s="4"/>
      <c r="H204" s="4"/>
      <c r="I204" s="4"/>
      <c r="J204" s="21"/>
      <c r="K204" s="21"/>
      <c r="L204" s="21"/>
      <c r="M204" s="21"/>
      <c r="N204" s="21"/>
      <c r="O204" s="21"/>
      <c r="P204" s="21"/>
      <c r="Q204" s="21"/>
      <c r="R204" s="21"/>
      <c r="S204" s="21"/>
      <c r="T204" s="20"/>
      <c r="U204" s="21"/>
      <c r="V204" s="4"/>
      <c r="W204" s="4"/>
      <c r="X204" s="4"/>
      <c r="Y204" s="20"/>
      <c r="Z204" s="20"/>
      <c r="AA204" s="4"/>
      <c r="AB204" s="20"/>
      <c r="AC204" s="21"/>
      <c r="AD204" s="21"/>
      <c r="AE204" s="21"/>
    </row>
    <row r="205" spans="1:32" s="10" customFormat="1" ht="17.25" customHeight="1" x14ac:dyDescent="0.3">
      <c r="A205" s="51"/>
      <c r="B205" s="21"/>
      <c r="C205" s="4"/>
      <c r="D205" s="4"/>
      <c r="E205" s="4"/>
      <c r="F205" s="4"/>
      <c r="G205" s="4"/>
      <c r="H205" s="4"/>
      <c r="I205" s="4"/>
      <c r="J205" s="21"/>
      <c r="K205" s="21"/>
      <c r="L205" s="21"/>
      <c r="M205" s="21"/>
      <c r="N205" s="21"/>
      <c r="O205" s="21"/>
      <c r="P205" s="21"/>
      <c r="Q205" s="21"/>
      <c r="R205" s="21"/>
      <c r="S205" s="21"/>
      <c r="T205" s="20"/>
      <c r="U205" s="21"/>
      <c r="V205" s="4"/>
      <c r="W205" s="4"/>
      <c r="X205" s="4"/>
      <c r="Y205" s="20"/>
      <c r="Z205" s="20"/>
      <c r="AA205" s="4"/>
      <c r="AB205" s="20"/>
      <c r="AC205" s="21"/>
      <c r="AD205" s="21"/>
      <c r="AE205" s="21"/>
    </row>
    <row r="206" spans="1:32" s="10" customFormat="1" ht="18" customHeight="1" x14ac:dyDescent="0.3">
      <c r="A206" s="51"/>
      <c r="B206" s="21"/>
      <c r="C206" s="4"/>
      <c r="D206" s="4"/>
      <c r="E206" s="4"/>
      <c r="F206" s="4"/>
      <c r="G206" s="4"/>
      <c r="H206" s="4"/>
      <c r="I206" s="4"/>
      <c r="J206" s="21"/>
      <c r="K206" s="21"/>
      <c r="L206" s="21"/>
      <c r="M206" s="21"/>
      <c r="N206" s="21"/>
      <c r="O206" s="21"/>
      <c r="P206" s="21"/>
      <c r="Q206" s="21"/>
      <c r="R206" s="21"/>
      <c r="S206" s="21"/>
      <c r="T206" s="20"/>
      <c r="U206" s="21"/>
      <c r="V206" s="4"/>
      <c r="W206" s="4"/>
      <c r="X206" s="4"/>
      <c r="Y206" s="20"/>
      <c r="Z206" s="20"/>
      <c r="AA206" s="4"/>
      <c r="AB206" s="20"/>
      <c r="AC206" s="21"/>
      <c r="AD206" s="21"/>
      <c r="AE206" s="21"/>
    </row>
    <row r="207" spans="1:32" s="10" customFormat="1" ht="17.25" customHeight="1" x14ac:dyDescent="0.3">
      <c r="A207" s="51"/>
      <c r="B207" s="21"/>
      <c r="C207" s="4"/>
      <c r="D207" s="4"/>
      <c r="E207" s="4"/>
      <c r="F207" s="4"/>
      <c r="G207" s="4"/>
      <c r="H207" s="4"/>
      <c r="I207" s="4"/>
      <c r="J207" s="21"/>
      <c r="K207" s="21"/>
      <c r="L207" s="21"/>
      <c r="M207" s="21"/>
      <c r="N207" s="21"/>
      <c r="O207" s="21"/>
      <c r="P207" s="21"/>
      <c r="Q207" s="21"/>
      <c r="R207" s="21"/>
      <c r="S207" s="21"/>
      <c r="T207" s="20"/>
      <c r="U207" s="21"/>
      <c r="V207" s="4"/>
      <c r="W207" s="4"/>
      <c r="X207" s="4"/>
      <c r="Y207" s="20"/>
      <c r="Z207" s="20"/>
      <c r="AA207" s="4"/>
      <c r="AB207" s="20"/>
      <c r="AC207" s="21"/>
      <c r="AD207" s="21"/>
      <c r="AE207" s="21"/>
    </row>
    <row r="208" spans="1:32" s="10" customFormat="1" ht="13.5" customHeight="1" x14ac:dyDescent="0.3">
      <c r="A208" s="51"/>
      <c r="B208" s="21"/>
      <c r="C208" s="4"/>
      <c r="D208" s="4"/>
      <c r="E208" s="4"/>
      <c r="F208" s="4"/>
      <c r="G208" s="4"/>
      <c r="H208" s="4"/>
      <c r="I208" s="4"/>
      <c r="J208" s="21"/>
      <c r="K208" s="21"/>
      <c r="L208" s="21"/>
      <c r="M208" s="21"/>
      <c r="N208" s="21"/>
      <c r="O208" s="21"/>
      <c r="P208" s="21"/>
      <c r="Q208" s="21"/>
      <c r="R208" s="21"/>
      <c r="S208" s="21"/>
      <c r="T208" s="20"/>
      <c r="U208" s="21"/>
      <c r="V208" s="4"/>
      <c r="W208" s="4"/>
      <c r="X208" s="4"/>
      <c r="Y208" s="20"/>
      <c r="Z208" s="20"/>
      <c r="AA208" s="4"/>
      <c r="AB208" s="20"/>
      <c r="AC208" s="21"/>
      <c r="AD208" s="21"/>
      <c r="AE208" s="21"/>
    </row>
    <row r="209" spans="1:32" s="10" customFormat="1" ht="16.5" customHeight="1" x14ac:dyDescent="0.3">
      <c r="A209" s="51"/>
      <c r="B209" s="21"/>
      <c r="C209" s="4"/>
      <c r="D209" s="4"/>
      <c r="E209" s="4"/>
      <c r="F209" s="4"/>
      <c r="G209" s="4"/>
      <c r="H209" s="4"/>
      <c r="I209" s="4"/>
      <c r="J209" s="21"/>
      <c r="K209" s="21"/>
      <c r="L209" s="21"/>
      <c r="M209" s="21"/>
      <c r="N209" s="21"/>
      <c r="O209" s="21"/>
      <c r="P209" s="21"/>
      <c r="Q209" s="21"/>
      <c r="R209" s="21"/>
      <c r="S209" s="21"/>
      <c r="T209" s="20"/>
      <c r="U209" s="21"/>
      <c r="V209" s="4"/>
      <c r="W209" s="4"/>
      <c r="X209" s="4"/>
      <c r="Y209" s="20"/>
      <c r="Z209" s="20"/>
      <c r="AA209" s="4"/>
      <c r="AB209" s="20"/>
      <c r="AC209" s="21"/>
      <c r="AD209" s="21"/>
      <c r="AE209" s="21"/>
    </row>
    <row r="210" spans="1:32" s="10" customFormat="1" x14ac:dyDescent="0.3">
      <c r="A210" s="51"/>
      <c r="B210" s="21"/>
      <c r="C210" s="4"/>
      <c r="D210" s="4"/>
      <c r="E210" s="4"/>
      <c r="F210" s="4"/>
      <c r="G210" s="4"/>
      <c r="H210" s="4"/>
      <c r="I210" s="4"/>
      <c r="J210" s="21"/>
      <c r="K210" s="21"/>
      <c r="L210" s="21"/>
      <c r="M210" s="21"/>
      <c r="N210" s="21"/>
      <c r="O210" s="21"/>
      <c r="P210" s="21"/>
      <c r="Q210" s="21"/>
      <c r="R210" s="21"/>
      <c r="S210" s="21"/>
      <c r="T210" s="20"/>
      <c r="U210" s="21"/>
      <c r="V210" s="4"/>
      <c r="W210" s="4"/>
      <c r="X210" s="4"/>
      <c r="Y210" s="20"/>
      <c r="Z210" s="20"/>
      <c r="AA210" s="4"/>
      <c r="AB210" s="20"/>
      <c r="AC210" s="21"/>
      <c r="AD210" s="21"/>
      <c r="AE210" s="21"/>
    </row>
    <row r="211" spans="1:32" s="10" customFormat="1" x14ac:dyDescent="0.3">
      <c r="A211" s="51"/>
      <c r="B211" s="21"/>
      <c r="C211" s="4"/>
      <c r="D211" s="4"/>
      <c r="E211" s="4"/>
      <c r="F211" s="4"/>
      <c r="G211" s="4"/>
      <c r="H211" s="4"/>
      <c r="I211" s="4"/>
      <c r="J211" s="21"/>
      <c r="K211" s="21"/>
      <c r="L211" s="21"/>
      <c r="M211" s="21"/>
      <c r="N211" s="21"/>
      <c r="O211" s="21"/>
      <c r="P211" s="21"/>
      <c r="Q211" s="21"/>
      <c r="R211" s="21"/>
      <c r="S211" s="21"/>
      <c r="T211" s="20"/>
      <c r="U211" s="21"/>
      <c r="V211" s="4"/>
      <c r="W211" s="4"/>
      <c r="X211" s="4"/>
      <c r="Y211" s="20"/>
      <c r="Z211" s="20"/>
      <c r="AA211" s="4"/>
      <c r="AB211" s="20"/>
      <c r="AC211" s="21"/>
      <c r="AD211" s="21"/>
      <c r="AE211" s="21"/>
    </row>
    <row r="212" spans="1:32" s="10" customFormat="1" x14ac:dyDescent="0.3">
      <c r="A212" s="51"/>
      <c r="B212" s="21"/>
      <c r="C212" s="4"/>
      <c r="D212" s="4"/>
      <c r="E212" s="4"/>
      <c r="F212" s="4"/>
      <c r="G212" s="4"/>
      <c r="H212" s="4"/>
      <c r="I212" s="4"/>
      <c r="J212" s="21"/>
      <c r="K212" s="21"/>
      <c r="L212" s="21"/>
      <c r="M212" s="21"/>
      <c r="N212" s="21"/>
      <c r="O212" s="21"/>
      <c r="P212" s="21"/>
      <c r="Q212" s="21"/>
      <c r="R212" s="21"/>
      <c r="S212" s="21"/>
      <c r="T212" s="20"/>
      <c r="U212" s="21"/>
      <c r="V212" s="4"/>
      <c r="W212" s="4"/>
      <c r="X212" s="4"/>
      <c r="Y212" s="20"/>
      <c r="Z212" s="20"/>
      <c r="AA212" s="4"/>
      <c r="AB212" s="20"/>
      <c r="AC212" s="21"/>
      <c r="AD212" s="21"/>
      <c r="AE212" s="21"/>
    </row>
    <row r="213" spans="1:32" s="10" customFormat="1" x14ac:dyDescent="0.3">
      <c r="A213" s="51"/>
      <c r="B213" s="21"/>
      <c r="C213" s="4"/>
      <c r="D213" s="4"/>
      <c r="E213" s="4"/>
      <c r="F213" s="4"/>
      <c r="G213" s="4"/>
      <c r="H213" s="4"/>
      <c r="I213" s="4"/>
      <c r="J213" s="21"/>
      <c r="K213" s="21"/>
      <c r="L213" s="21"/>
      <c r="M213" s="21"/>
      <c r="N213" s="21"/>
      <c r="O213" s="21"/>
      <c r="P213" s="21"/>
      <c r="Q213" s="21"/>
      <c r="R213" s="21"/>
      <c r="S213" s="21"/>
      <c r="T213" s="20"/>
      <c r="U213" s="21"/>
      <c r="V213" s="4"/>
      <c r="W213" s="4"/>
      <c r="X213" s="4"/>
      <c r="Y213" s="20"/>
      <c r="Z213" s="20"/>
      <c r="AA213" s="4"/>
      <c r="AB213" s="20"/>
      <c r="AC213" s="21"/>
      <c r="AD213" s="21"/>
      <c r="AE213" s="21"/>
    </row>
    <row r="214" spans="1:32" s="10" customFormat="1" x14ac:dyDescent="0.3">
      <c r="A214" s="51"/>
      <c r="B214" s="21"/>
      <c r="C214" s="4"/>
      <c r="D214" s="4"/>
      <c r="E214" s="4"/>
      <c r="F214" s="4"/>
      <c r="G214" s="4"/>
      <c r="H214" s="4"/>
      <c r="I214" s="4"/>
      <c r="J214" s="21"/>
      <c r="K214" s="21"/>
      <c r="L214" s="21"/>
      <c r="M214" s="21"/>
      <c r="N214" s="21"/>
      <c r="O214" s="21"/>
      <c r="P214" s="21"/>
      <c r="Q214" s="21"/>
      <c r="R214" s="21"/>
      <c r="S214" s="21"/>
      <c r="T214" s="20"/>
      <c r="U214" s="21"/>
      <c r="V214" s="4"/>
      <c r="W214" s="4"/>
      <c r="X214" s="4"/>
      <c r="Y214" s="20"/>
      <c r="Z214" s="20"/>
      <c r="AA214" s="4"/>
      <c r="AB214" s="20"/>
      <c r="AC214" s="21"/>
      <c r="AD214" s="21"/>
      <c r="AE214" s="21"/>
    </row>
    <row r="215" spans="1:32" s="16" customFormat="1" x14ac:dyDescent="0.3">
      <c r="A215" s="51"/>
      <c r="B215" s="21"/>
      <c r="C215" s="4"/>
      <c r="D215" s="4"/>
      <c r="E215" s="4"/>
      <c r="F215" s="4"/>
      <c r="G215" s="4"/>
      <c r="H215" s="4"/>
      <c r="I215" s="4"/>
      <c r="J215" s="21"/>
      <c r="K215" s="21"/>
      <c r="L215" s="21"/>
      <c r="M215" s="21"/>
      <c r="N215" s="21"/>
      <c r="O215" s="21"/>
      <c r="P215" s="21"/>
      <c r="Q215" s="21"/>
      <c r="R215" s="21"/>
      <c r="S215" s="21"/>
      <c r="T215" s="20"/>
      <c r="U215" s="21"/>
      <c r="V215" s="4"/>
      <c r="W215" s="4"/>
      <c r="X215" s="4"/>
      <c r="Y215" s="20"/>
      <c r="Z215" s="20"/>
      <c r="AA215" s="4"/>
      <c r="AB215" s="20"/>
      <c r="AC215" s="21"/>
      <c r="AD215" s="21"/>
      <c r="AE215" s="21"/>
      <c r="AF215" s="10"/>
    </row>
    <row r="216" spans="1:32" x14ac:dyDescent="0.3">
      <c r="AF216" s="10"/>
    </row>
    <row r="217" spans="1:32" x14ac:dyDescent="0.3">
      <c r="AF217" s="10"/>
    </row>
    <row r="218" spans="1:32" x14ac:dyDescent="0.3">
      <c r="AF218" s="10"/>
    </row>
    <row r="219" spans="1:32" x14ac:dyDescent="0.3">
      <c r="AF219" s="16"/>
    </row>
  </sheetData>
  <conditionalFormatting sqref="AF2:AF33">
    <cfRule type="expression" dxfId="13" priority="1" stopIfTrue="1">
      <formula>$P2="9-Withdrawn"</formula>
    </cfRule>
  </conditionalFormatting>
  <conditionalFormatting sqref="A2:AF33">
    <cfRule type="expression" dxfId="12" priority="6" stopIfTrue="1">
      <formula>AND($G2="Policy",NOT($AG2))</formula>
    </cfRule>
    <cfRule type="expression" dxfId="11" priority="9" stopIfTrue="1">
      <formula>AND($G2="Procedure",NOT($AG2))</formula>
    </cfRule>
    <cfRule type="expression" dxfId="10" priority="10" stopIfTrue="1">
      <formula>AND($G2="Plan",NOT($AG2))</formula>
    </cfRule>
  </conditionalFormatting>
  <conditionalFormatting sqref="AA2:AA33">
    <cfRule type="expression" dxfId="9" priority="3" stopIfTrue="1">
      <formula>$AA2&gt;1</formula>
    </cfRule>
    <cfRule type="expression" dxfId="8" priority="4" stopIfTrue="1">
      <formula>$AA2&gt;-0.01</formula>
    </cfRule>
    <cfRule type="expression" dxfId="7" priority="5" stopIfTrue="1">
      <formula>$AA2&lt;0</formula>
    </cfRule>
  </conditionalFormatting>
  <pageMargins left="0.19685039370078741" right="0.19685039370078741" top="0.94488188976377963" bottom="0.74803149606299213" header="0.31496062992125984" footer="0.31496062992125984"/>
  <pageSetup paperSize="9" scale="39" fitToHeight="2" orientation="landscape"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E4DD8B7B-5896-40C9-80EE-8819FD959180}">
          <x14:formula1>
            <xm:f>Parameters!$A$40:$A$46</xm:f>
          </x14:formula1>
          <xm:sqref>Q2:Q33</xm:sqref>
        </x14:dataValidation>
        <x14:dataValidation type="list" allowBlank="1" showInputMessage="1" showErrorMessage="1" xr:uid="{E8DAAB12-D53B-4A74-938F-DC0CC74DCB3F}">
          <x14:formula1>
            <xm:f>Parameters!$B$24:$B$38</xm:f>
          </x14:formula1>
          <xm:sqref>P2:P33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6E6920-75A8-432E-A6E2-0C44B2480E06}">
  <sheetPr codeName="Sheet15">
    <outlinePr summaryBelow="0" summaryRight="0"/>
    <pageSetUpPr fitToPage="1"/>
  </sheetPr>
  <dimension ref="A1:AG195"/>
  <sheetViews>
    <sheetView zoomScale="95" zoomScaleNormal="95" zoomScalePageLayoutView="70" workbookViewId="0">
      <selection activeCell="M21" sqref="M21"/>
    </sheetView>
  </sheetViews>
  <sheetFormatPr defaultColWidth="9.19921875" defaultRowHeight="12.9" outlineLevelCol="1" x14ac:dyDescent="0.3"/>
  <cols>
    <col min="1" max="1" width="11" style="51" customWidth="1"/>
    <col min="2" max="2" width="10.5" style="21" customWidth="1" outlineLevel="1"/>
    <col min="3" max="4" width="6.19921875" style="4" customWidth="1" outlineLevel="1"/>
    <col min="5" max="5" width="5.19921875" style="4" customWidth="1" outlineLevel="1"/>
    <col min="6" max="6" width="4.296875" style="4" customWidth="1" outlineLevel="1"/>
    <col min="7" max="7" width="14.296875" style="4" customWidth="1"/>
    <col min="8" max="8" width="17.19921875" style="4" customWidth="1" outlineLevel="1"/>
    <col min="9" max="9" width="26.19921875" style="4" customWidth="1"/>
    <col min="10" max="10" width="6.796875" style="21" customWidth="1" outlineLevel="1"/>
    <col min="11" max="11" width="11.296875" style="21" customWidth="1" outlineLevel="1"/>
    <col min="12" max="12" width="46.3984375" style="21" customWidth="1"/>
    <col min="13" max="13" width="20.5" style="21" customWidth="1" outlineLevel="1"/>
    <col min="14" max="14" width="6.19921875" style="21" customWidth="1" outlineLevel="1"/>
    <col min="15" max="15" width="8" style="21" customWidth="1" outlineLevel="1"/>
    <col min="16" max="16" width="20.296875" style="21" customWidth="1" outlineLevel="1"/>
    <col min="17" max="17" width="14" style="21" customWidth="1" outlineLevel="1"/>
    <col min="18" max="19" width="9" style="21" customWidth="1"/>
    <col min="20" max="20" width="12.5" style="20" customWidth="1"/>
    <col min="21" max="21" width="19.8984375" style="21" customWidth="1" outlineLevel="1"/>
    <col min="22" max="22" width="10.796875" style="4" customWidth="1" outlineLevel="1"/>
    <col min="23" max="23" width="7.796875" style="4" customWidth="1" outlineLevel="1"/>
    <col min="24" max="24" width="14.8984375" style="4" customWidth="1" outlineLevel="1"/>
    <col min="25" max="25" width="14.19921875" style="20" customWidth="1" outlineLevel="1"/>
    <col min="26" max="26" width="13.19921875" style="20" customWidth="1"/>
    <col min="27" max="27" width="14.19921875" style="4" customWidth="1" outlineLevel="1"/>
    <col min="28" max="28" width="14.796875" style="20" customWidth="1" outlineLevel="1"/>
    <col min="29" max="29" width="7.796875" style="21" customWidth="1" outlineLevel="1"/>
    <col min="30" max="30" width="35" style="21" customWidth="1" outlineLevel="1"/>
    <col min="31" max="31" width="28.796875" style="21" customWidth="1" outlineLevel="1"/>
    <col min="32" max="32" width="9.19921875" style="12"/>
    <col min="33" max="33" width="17.3984375" style="12" customWidth="1"/>
    <col min="34" max="16384" width="9.19921875" style="12"/>
  </cols>
  <sheetData>
    <row r="1" spans="1:33" s="9" customFormat="1" ht="14.25" customHeight="1" x14ac:dyDescent="0.3">
      <c r="A1" s="49" t="s">
        <v>9</v>
      </c>
      <c r="B1" s="2" t="s">
        <v>10</v>
      </c>
      <c r="C1" s="8" t="s">
        <v>11</v>
      </c>
      <c r="D1" s="8" t="s">
        <v>12</v>
      </c>
      <c r="E1" s="8" t="s">
        <v>13</v>
      </c>
      <c r="F1" s="8" t="s">
        <v>14</v>
      </c>
      <c r="G1" s="2" t="s">
        <v>3</v>
      </c>
      <c r="H1" s="2" t="s">
        <v>15</v>
      </c>
      <c r="I1" s="2" t="s">
        <v>16</v>
      </c>
      <c r="J1" s="2" t="s">
        <v>17</v>
      </c>
      <c r="K1" s="2" t="s">
        <v>4</v>
      </c>
      <c r="L1" s="2" t="s">
        <v>5</v>
      </c>
      <c r="M1" s="2" t="s">
        <v>18</v>
      </c>
      <c r="N1" s="2" t="s">
        <v>19</v>
      </c>
      <c r="O1" s="2" t="s">
        <v>20</v>
      </c>
      <c r="P1" s="2" t="s">
        <v>1</v>
      </c>
      <c r="Q1" s="2" t="s">
        <v>21</v>
      </c>
      <c r="R1" s="2" t="s">
        <v>22</v>
      </c>
      <c r="S1" s="2" t="s">
        <v>0</v>
      </c>
      <c r="T1" s="2" t="s">
        <v>23</v>
      </c>
      <c r="U1" s="2" t="s">
        <v>6</v>
      </c>
      <c r="V1" s="2" t="s">
        <v>24</v>
      </c>
      <c r="W1" s="2" t="s">
        <v>25</v>
      </c>
      <c r="X1" s="2" t="s">
        <v>26</v>
      </c>
      <c r="Y1" s="2" t="s">
        <v>27</v>
      </c>
      <c r="Z1" s="2" t="s">
        <v>28</v>
      </c>
      <c r="AA1" s="2" t="s">
        <v>29</v>
      </c>
      <c r="AB1" s="2" t="s">
        <v>30</v>
      </c>
      <c r="AC1" s="2" t="s">
        <v>31</v>
      </c>
      <c r="AD1" s="2" t="s">
        <v>2</v>
      </c>
      <c r="AE1" s="2" t="s">
        <v>32</v>
      </c>
      <c r="AF1" s="9" t="s">
        <v>45</v>
      </c>
      <c r="AG1" s="9" t="s">
        <v>158</v>
      </c>
    </row>
    <row r="2" spans="1:33" s="10" customFormat="1" ht="14.25" customHeight="1" x14ac:dyDescent="0.3">
      <c r="A2" s="41" t="str">
        <f xml:space="preserve"> TableMisc[[#This Row],[i]] &amp;IF( TableMisc[[#This Row],[j]]=0, IF(TableMisc[[#This Row],[k]]&lt;&gt;0, TableMisc[[#This Row],[j]],""),TableMisc[[#This Row],[j]]) &amp; IF(TableMisc[[#This Row],[k]]=0,"",TableMisc[[#This Row],[k]]) &amp; IF(TableMisc[[#This Row],[l]]=0,"",TableMisc[[#This Row],[l]])</f>
        <v>AA</v>
      </c>
      <c r="B2" s="4" t="s">
        <v>48</v>
      </c>
      <c r="C2" s="4" t="s">
        <v>47</v>
      </c>
      <c r="D2" s="4" t="s">
        <v>47</v>
      </c>
      <c r="E2" s="4"/>
      <c r="F2" s="4"/>
      <c r="G2" s="5" t="s">
        <v>7</v>
      </c>
      <c r="H2" s="4" t="s">
        <v>42</v>
      </c>
      <c r="I2" s="4" t="s">
        <v>42</v>
      </c>
      <c r="J2" s="6" t="s">
        <v>34</v>
      </c>
      <c r="K2" s="6" t="s">
        <v>36</v>
      </c>
      <c r="L2" s="6" t="str">
        <f>TableMisc[[#This Row],[Id]] &amp; "_" &amp; VLOOKUP(TableMisc[[#This Row],[Type]],TableType[[#All],[Type]:[Type-ACR Re]],2,0) &amp; "_" &amp; TableMisc[[#This Row],[OrgAcr]] &amp; "-" &amp; TableMisc[[#This Row],[Acr.]] &amp;  IF(TableMisc[[#This Row],[Ver. (opt)]]="", "", "_v" &amp; TableMisc[[#This Row],[Ver. (opt)]] &amp; IF(TableMisc[[#This Row],[Ext.]]="","", "."&amp;TableMisc[[#This Row],[Ext.]]))</f>
        <v>AA_POL_ITR-DummyEntry_v1.0.docx</v>
      </c>
      <c r="M2" s="6" t="str" cm="1">
        <f t="array" ref="M2">_xlfn.XLOOKUP(TableMisc[[#This Row],[OrgAcr]],TableOrg[[#All],[Org-ACR]],TableOrg[[#All],[Organization]],1,0)</f>
        <v>itrust consulting</v>
      </c>
      <c r="N2" s="6" t="s">
        <v>8</v>
      </c>
      <c r="O2" s="6" t="str">
        <f>TableMisc[[#This Row],[Organisation]] &amp;", ISMS, " &amp; TableMisc[[#This Row],[Type]] &amp; ", " &amp; TableMisc[[#This Row],[Title]] &amp;" ("&amp; TableMisc[[#This Row],[OrgAcr]] &amp;"-"&amp; TableMisc[[#This Row],[Acr.]] &amp;"), #" &amp; TableMisc[[#This Row],[Id]]  &amp;"."</f>
        <v>itrust consulting, ISMS, Policy, DummyEntry (ITR-DummyEntry), #AA.</v>
      </c>
      <c r="P2" s="6" t="s">
        <v>35</v>
      </c>
      <c r="Q2" s="6" t="s">
        <v>46</v>
      </c>
      <c r="R2" s="6" t="s">
        <v>43</v>
      </c>
      <c r="S2" s="4" t="s">
        <v>37</v>
      </c>
      <c r="T2" s="52">
        <v>45601</v>
      </c>
      <c r="U2" s="6" t="s">
        <v>39</v>
      </c>
      <c r="V2" s="22">
        <v>9999</v>
      </c>
      <c r="W2" s="7" t="s">
        <v>38</v>
      </c>
      <c r="X2" s="22">
        <v>9999</v>
      </c>
      <c r="Y2" s="53">
        <v>45601</v>
      </c>
      <c r="Z2" s="53">
        <f>MAX(TableMisc[[#This Row],[Published]],TableMisc[[#This Row],[Confirm date]])+365</f>
        <v>45966</v>
      </c>
      <c r="AA2" s="6">
        <f ca="1">IFERROR( ROUNDDOWN(IF(TableMisc[[#This Row],[Next review plan]]="", TableMisc[[#Headers],[Confirm date]]+365-TODAY(), TableMisc[[#This Row],[Next review plan]]-TODAY())/30,0), -13)</f>
        <v>4</v>
      </c>
      <c r="AB2" s="53">
        <v>45455</v>
      </c>
      <c r="AC2" s="6" t="s">
        <v>43</v>
      </c>
      <c r="AD2" s="6" t="s">
        <v>44</v>
      </c>
      <c r="AE2" s="6"/>
      <c r="AF2" s="66"/>
      <c r="AG2" s="71" t="b" cm="1">
        <f t="array" ref="AG2">IsRowFilled(A2:AE9)</f>
        <v>0</v>
      </c>
    </row>
    <row r="3" spans="1:33" s="10" customFormat="1" ht="14.25" customHeight="1" x14ac:dyDescent="0.3">
      <c r="A3" s="41"/>
      <c r="B3" s="4"/>
      <c r="C3" s="4"/>
      <c r="D3" s="4"/>
      <c r="E3" s="4"/>
      <c r="F3" s="4"/>
      <c r="G3" s="5"/>
      <c r="H3" s="4"/>
      <c r="I3" s="4"/>
      <c r="J3" s="6"/>
      <c r="K3" s="6" t="s">
        <v>328</v>
      </c>
      <c r="L3" s="6" t="s">
        <v>329</v>
      </c>
      <c r="M3" s="6"/>
      <c r="N3" s="6"/>
      <c r="O3" s="6"/>
      <c r="P3" s="6"/>
      <c r="Q3" s="6"/>
      <c r="R3" s="6"/>
      <c r="S3" s="4"/>
      <c r="T3" s="52"/>
      <c r="U3" s="6" t="s">
        <v>223</v>
      </c>
      <c r="V3" s="22"/>
      <c r="W3" s="7"/>
      <c r="X3" s="22"/>
      <c r="Y3" s="53"/>
      <c r="Z3" s="53"/>
      <c r="AA3" s="6"/>
      <c r="AB3" s="53">
        <v>45442</v>
      </c>
      <c r="AC3" s="6"/>
      <c r="AD3" s="6"/>
      <c r="AE3" s="6"/>
      <c r="AF3" s="64"/>
      <c r="AG3" s="71"/>
    </row>
    <row r="4" spans="1:33" s="10" customFormat="1" ht="14.25" customHeight="1" x14ac:dyDescent="0.3">
      <c r="A4" s="41"/>
      <c r="B4" s="4"/>
      <c r="C4" s="4"/>
      <c r="D4" s="4"/>
      <c r="E4" s="4"/>
      <c r="F4" s="4"/>
      <c r="G4" s="5"/>
      <c r="H4" s="4"/>
      <c r="I4" s="4"/>
      <c r="J4" s="6"/>
      <c r="K4" s="6" t="s">
        <v>274</v>
      </c>
      <c r="L4" s="6" t="s">
        <v>330</v>
      </c>
      <c r="M4" s="6"/>
      <c r="N4" s="6"/>
      <c r="O4" s="6"/>
      <c r="P4" s="6"/>
      <c r="Q4" s="6"/>
      <c r="R4" s="6"/>
      <c r="S4" s="4"/>
      <c r="T4" s="52"/>
      <c r="U4" s="6" t="s">
        <v>276</v>
      </c>
      <c r="V4" s="22"/>
      <c r="W4" s="7"/>
      <c r="X4" s="22"/>
      <c r="Y4" s="53"/>
      <c r="Z4" s="53"/>
      <c r="AA4" s="6"/>
      <c r="AB4" s="53">
        <v>45769</v>
      </c>
      <c r="AC4" s="6"/>
      <c r="AD4" s="6"/>
      <c r="AE4" s="6"/>
      <c r="AF4" s="64"/>
      <c r="AG4" s="71"/>
    </row>
    <row r="5" spans="1:33" s="10" customFormat="1" ht="14.25" customHeight="1" x14ac:dyDescent="0.3">
      <c r="A5" s="41"/>
      <c r="B5" s="4"/>
      <c r="C5" s="4"/>
      <c r="D5" s="4"/>
      <c r="E5" s="4"/>
      <c r="F5" s="4"/>
      <c r="G5" s="5"/>
      <c r="H5" s="4"/>
      <c r="I5" s="4"/>
      <c r="J5" s="6"/>
      <c r="K5" s="6" t="s">
        <v>331</v>
      </c>
      <c r="L5" s="6" t="s">
        <v>332</v>
      </c>
      <c r="M5" s="6"/>
      <c r="N5" s="6"/>
      <c r="O5" s="6"/>
      <c r="P5" s="6"/>
      <c r="Q5" s="6"/>
      <c r="R5" s="6"/>
      <c r="S5" s="4"/>
      <c r="T5" s="52"/>
      <c r="U5" s="6" t="s">
        <v>291</v>
      </c>
      <c r="V5" s="22"/>
      <c r="W5" s="7"/>
      <c r="X5" s="22"/>
      <c r="Y5" s="53"/>
      <c r="Z5" s="53"/>
      <c r="AA5" s="6"/>
      <c r="AB5" s="53">
        <v>43909</v>
      </c>
      <c r="AC5" s="6"/>
      <c r="AD5" s="6"/>
      <c r="AE5" s="6"/>
      <c r="AF5" s="64"/>
      <c r="AG5" s="71"/>
    </row>
    <row r="6" spans="1:33" s="10" customFormat="1" ht="14.25" customHeight="1" x14ac:dyDescent="0.3">
      <c r="A6" s="41"/>
      <c r="B6" s="4"/>
      <c r="C6" s="4"/>
      <c r="D6" s="4"/>
      <c r="E6" s="4"/>
      <c r="F6" s="4"/>
      <c r="G6" s="5"/>
      <c r="H6" s="4"/>
      <c r="I6" s="4"/>
      <c r="J6" s="6"/>
      <c r="K6" s="6" t="s">
        <v>333</v>
      </c>
      <c r="L6" s="6" t="s">
        <v>334</v>
      </c>
      <c r="M6" s="6"/>
      <c r="N6" s="6"/>
      <c r="O6" s="6"/>
      <c r="P6" s="6"/>
      <c r="Q6" s="6"/>
      <c r="R6" s="6"/>
      <c r="S6" s="4"/>
      <c r="T6" s="52"/>
      <c r="U6" s="6" t="s">
        <v>335</v>
      </c>
      <c r="V6" s="22"/>
      <c r="W6" s="7"/>
      <c r="X6" s="22"/>
      <c r="Y6" s="53"/>
      <c r="Z6" s="53"/>
      <c r="AA6" s="6"/>
      <c r="AB6" s="53">
        <v>44035</v>
      </c>
      <c r="AC6" s="6"/>
      <c r="AD6" s="6"/>
      <c r="AE6" s="6"/>
      <c r="AF6" s="64"/>
      <c r="AG6" s="71"/>
    </row>
    <row r="7" spans="1:33" s="10" customFormat="1" ht="14.25" customHeight="1" x14ac:dyDescent="0.3">
      <c r="A7" s="41"/>
      <c r="B7" s="4"/>
      <c r="C7" s="4"/>
      <c r="D7" s="4"/>
      <c r="E7" s="4"/>
      <c r="F7" s="4"/>
      <c r="G7" s="5"/>
      <c r="H7" s="4"/>
      <c r="I7" s="4"/>
      <c r="J7" s="6"/>
      <c r="K7" s="6" t="s">
        <v>328</v>
      </c>
      <c r="L7" s="6" t="s">
        <v>336</v>
      </c>
      <c r="M7" s="6"/>
      <c r="N7" s="6"/>
      <c r="O7" s="6"/>
      <c r="P7" s="6"/>
      <c r="Q7" s="6"/>
      <c r="R7" s="6"/>
      <c r="S7" s="4"/>
      <c r="T7" s="52"/>
      <c r="U7" s="6" t="s">
        <v>299</v>
      </c>
      <c r="V7" s="22"/>
      <c r="W7" s="7"/>
      <c r="X7" s="22"/>
      <c r="Y7" s="53"/>
      <c r="Z7" s="53"/>
      <c r="AA7" s="6"/>
      <c r="AB7" s="53">
        <v>43641</v>
      </c>
      <c r="AC7" s="6"/>
      <c r="AD7" s="6"/>
      <c r="AE7" s="6"/>
      <c r="AF7" s="64"/>
      <c r="AG7" s="71"/>
    </row>
    <row r="8" spans="1:33" s="10" customFormat="1" ht="14.25" customHeight="1" x14ac:dyDescent="0.3">
      <c r="A8" s="41"/>
      <c r="B8" s="4"/>
      <c r="C8" s="4"/>
      <c r="D8" s="4"/>
      <c r="E8" s="4"/>
      <c r="F8" s="4"/>
      <c r="G8" s="5"/>
      <c r="H8" s="4"/>
      <c r="I8" s="4"/>
      <c r="J8" s="6"/>
      <c r="K8" s="6" t="s">
        <v>187</v>
      </c>
      <c r="L8" s="6" t="s">
        <v>337</v>
      </c>
      <c r="M8" s="6"/>
      <c r="N8" s="6"/>
      <c r="O8" s="6"/>
      <c r="P8" s="6"/>
      <c r="Q8" s="6"/>
      <c r="R8" s="6"/>
      <c r="S8" s="4"/>
      <c r="T8" s="52"/>
      <c r="U8" s="6" t="s">
        <v>338</v>
      </c>
      <c r="V8" s="22"/>
      <c r="W8" s="7"/>
      <c r="X8" s="22"/>
      <c r="Y8" s="53"/>
      <c r="Z8" s="53"/>
      <c r="AA8" s="6"/>
      <c r="AB8" s="53">
        <v>45754</v>
      </c>
      <c r="AC8" s="6"/>
      <c r="AD8" s="6"/>
      <c r="AE8" s="6"/>
      <c r="AF8" s="64" t="s">
        <v>192</v>
      </c>
      <c r="AG8" s="71"/>
    </row>
    <row r="9" spans="1:33" s="10" customFormat="1" ht="14.25" customHeight="1" x14ac:dyDescent="0.3">
      <c r="A9" s="41"/>
      <c r="B9" s="4"/>
      <c r="C9" s="4"/>
      <c r="D9" s="4"/>
      <c r="E9" s="4"/>
      <c r="F9" s="4"/>
      <c r="G9" s="5"/>
      <c r="H9" s="4"/>
      <c r="I9" s="4"/>
      <c r="J9" s="6"/>
      <c r="K9" s="6"/>
      <c r="L9" s="6"/>
      <c r="M9" s="6"/>
      <c r="N9" s="6"/>
      <c r="O9" s="6"/>
      <c r="P9" s="6"/>
      <c r="Q9" s="6"/>
      <c r="R9" s="6"/>
      <c r="S9" s="4"/>
      <c r="T9" s="3"/>
      <c r="U9" s="6"/>
      <c r="V9" s="22"/>
      <c r="W9" s="7"/>
      <c r="X9" s="22"/>
      <c r="Y9" s="22"/>
      <c r="Z9" s="22"/>
      <c r="AA9" s="6"/>
      <c r="AB9" s="22"/>
      <c r="AC9" s="6"/>
      <c r="AD9" s="6"/>
      <c r="AE9" s="6"/>
      <c r="AF9" s="4"/>
      <c r="AG9" s="47"/>
    </row>
    <row r="10" spans="1:33" s="10" customFormat="1" ht="14.25" customHeight="1" x14ac:dyDescent="0.3">
      <c r="A10" s="50">
        <f>SUBTOTAL(103,A2:A9)</f>
        <v>1</v>
      </c>
      <c r="B10" s="12"/>
      <c r="C10" s="17"/>
      <c r="D10" s="17"/>
      <c r="E10" s="17"/>
      <c r="F10" s="17"/>
      <c r="G10" s="17">
        <f>TableMisc[[#Totals],[Status]]/TableMisc[[#Totals],[Id]]</f>
        <v>1</v>
      </c>
      <c r="H10" s="17"/>
      <c r="I10" s="17"/>
      <c r="J10" s="18"/>
      <c r="K10" s="18"/>
      <c r="L10" s="18"/>
      <c r="M10" s="18"/>
      <c r="N10" s="18"/>
      <c r="O10" s="18" t="s">
        <v>40</v>
      </c>
      <c r="P10" s="18">
        <f>SUBTOTAL(103,TableMisc[Status])</f>
        <v>1</v>
      </c>
      <c r="Q10" s="18"/>
      <c r="R10" s="18"/>
      <c r="S10" s="18"/>
      <c r="T10" s="19"/>
      <c r="U10" s="18"/>
      <c r="V10" s="18"/>
      <c r="W10" s="18">
        <f>COUNTA(TableMisc[Next reviewer])-COUNTIF(TableMisc[Next reviewer],"N/A")</f>
        <v>0</v>
      </c>
      <c r="X10" s="18">
        <f>COUNTIFS(TableMisc[Status],"Final",TableMisc[Ticket or deadline],"") / TableMisc[[#Totals],[Status]]</f>
        <v>0</v>
      </c>
      <c r="Y10" s="19">
        <f>SUBTOTAL(103,TableMisc[last CC])</f>
        <v>1</v>
      </c>
      <c r="Z10" s="19">
        <f ca="1">TableMisc[[#Totals],[Month to next revison]]/TableMisc[[#Totals],[Confirm date]]</f>
        <v>0</v>
      </c>
      <c r="AA10" s="18">
        <f ca="1">COUNTIF(TableMisc[Month to next revison],"OK")</f>
        <v>0</v>
      </c>
      <c r="AB10" s="19"/>
      <c r="AC10" s="18">
        <f>SUBTOTAL(103,TableMisc[By])</f>
        <v>1</v>
      </c>
      <c r="AD10" s="18">
        <f>SUBTOTAL(103,TableMisc[Comments])</f>
        <v>1</v>
      </c>
      <c r="AE10" s="18"/>
      <c r="AF10" s="12">
        <f>SUBTOTAL(103,TableMisc[Error])</f>
        <v>1</v>
      </c>
      <c r="AG10" s="46"/>
    </row>
    <row r="11" spans="1:33" s="10" customFormat="1" ht="14.25" customHeight="1" x14ac:dyDescent="0.3">
      <c r="A11" s="41"/>
      <c r="B11" s="4"/>
      <c r="C11" s="4"/>
      <c r="D11" s="4"/>
      <c r="E11" s="4"/>
      <c r="F11" s="4"/>
      <c r="G11" s="4"/>
      <c r="H11" s="4"/>
      <c r="I11" s="4"/>
      <c r="J11" s="4"/>
      <c r="K11" s="4"/>
      <c r="L11" s="4"/>
      <c r="M11" s="4"/>
      <c r="N11" s="4"/>
      <c r="O11" s="4"/>
      <c r="P11" s="4"/>
      <c r="Q11" s="4"/>
      <c r="R11" s="4"/>
      <c r="S11" s="4"/>
      <c r="T11" s="20"/>
      <c r="U11" s="4"/>
      <c r="V11" s="4"/>
      <c r="W11" s="4"/>
      <c r="X11" s="11"/>
      <c r="Y11" s="20"/>
      <c r="Z11" s="20"/>
      <c r="AA11" s="4"/>
      <c r="AB11" s="20"/>
      <c r="AC11" s="4"/>
      <c r="AD11" s="4"/>
      <c r="AE11" s="4"/>
    </row>
    <row r="12" spans="1:33" s="10" customFormat="1" ht="14.25" customHeight="1" x14ac:dyDescent="0.3">
      <c r="A12" s="41"/>
      <c r="B12" s="4"/>
      <c r="C12" s="4"/>
      <c r="D12" s="4"/>
      <c r="E12" s="4"/>
      <c r="F12" s="4"/>
      <c r="G12" s="4"/>
      <c r="H12" s="4"/>
      <c r="I12" s="4"/>
      <c r="J12" s="4"/>
      <c r="K12" s="4"/>
      <c r="L12" s="4"/>
      <c r="M12" s="4"/>
      <c r="N12" s="4"/>
      <c r="O12" s="4"/>
      <c r="P12" s="4"/>
      <c r="Q12" s="4"/>
      <c r="R12" s="4"/>
      <c r="S12" s="4"/>
      <c r="T12" s="20"/>
      <c r="U12" s="4"/>
      <c r="V12" s="4"/>
      <c r="W12" s="4"/>
      <c r="X12" s="11"/>
      <c r="Y12" s="20"/>
      <c r="Z12" s="20"/>
      <c r="AA12" s="4"/>
      <c r="AB12" s="20"/>
      <c r="AC12" s="4"/>
      <c r="AD12" s="4"/>
      <c r="AE12" s="4"/>
    </row>
    <row r="13" spans="1:33" s="10" customFormat="1" ht="14.25" customHeight="1" x14ac:dyDescent="0.3">
      <c r="A13" s="41"/>
      <c r="B13" s="4"/>
      <c r="C13" s="4"/>
      <c r="D13" s="4"/>
      <c r="E13" s="4"/>
      <c r="F13" s="4"/>
      <c r="G13" s="4"/>
      <c r="H13" s="4"/>
      <c r="I13" s="4"/>
      <c r="J13" s="4"/>
      <c r="K13" s="4"/>
      <c r="L13" s="4"/>
      <c r="M13" s="4"/>
      <c r="N13" s="4"/>
      <c r="O13" s="4"/>
      <c r="P13" s="4"/>
      <c r="Q13" s="4"/>
      <c r="R13" s="4"/>
      <c r="S13" s="4"/>
      <c r="T13" s="20"/>
      <c r="U13" s="4"/>
      <c r="V13" s="4"/>
      <c r="W13" s="4"/>
      <c r="X13" s="11"/>
      <c r="Y13" s="20"/>
      <c r="Z13" s="20"/>
      <c r="AA13" s="4"/>
      <c r="AB13" s="20"/>
      <c r="AC13" s="4"/>
      <c r="AD13" s="4"/>
      <c r="AE13" s="4"/>
    </row>
    <row r="14" spans="1:33" s="10" customFormat="1" ht="14.25" customHeight="1" x14ac:dyDescent="0.3">
      <c r="A14" s="41"/>
      <c r="B14" s="4"/>
      <c r="C14" s="4"/>
      <c r="D14" s="4"/>
      <c r="E14" s="4"/>
      <c r="F14" s="4"/>
      <c r="G14" s="4"/>
      <c r="H14" s="4"/>
      <c r="I14" s="4"/>
      <c r="J14" s="4"/>
      <c r="K14" s="4"/>
      <c r="L14" s="4"/>
      <c r="M14" s="4"/>
      <c r="N14" s="4"/>
      <c r="O14" s="4"/>
      <c r="P14" s="4"/>
      <c r="Q14" s="4"/>
      <c r="R14" s="4"/>
      <c r="S14" s="4"/>
      <c r="T14" s="20"/>
      <c r="U14" s="4"/>
      <c r="V14" s="4"/>
      <c r="W14" s="4"/>
      <c r="X14" s="11"/>
      <c r="Y14" s="20"/>
      <c r="Z14" s="20"/>
      <c r="AA14" s="4"/>
      <c r="AB14" s="20"/>
      <c r="AC14" s="4"/>
      <c r="AD14" s="4"/>
      <c r="AE14" s="4"/>
    </row>
    <row r="15" spans="1:33" s="10" customFormat="1" ht="14.25" customHeight="1" x14ac:dyDescent="0.3">
      <c r="A15" s="41"/>
      <c r="B15" s="4"/>
      <c r="C15" s="4"/>
      <c r="D15" s="4"/>
      <c r="E15" s="4"/>
      <c r="F15" s="4"/>
      <c r="G15" s="4"/>
      <c r="H15" s="4"/>
      <c r="I15" s="4"/>
      <c r="J15" s="4"/>
      <c r="K15" s="4"/>
      <c r="L15" s="4"/>
      <c r="M15" s="4"/>
      <c r="N15" s="4"/>
      <c r="O15" s="4"/>
      <c r="P15" s="4"/>
      <c r="Q15" s="4"/>
      <c r="R15" s="4"/>
      <c r="S15" s="4"/>
      <c r="T15" s="20"/>
      <c r="U15" s="4"/>
      <c r="V15" s="4"/>
      <c r="W15" s="4"/>
      <c r="X15" s="11"/>
      <c r="Y15" s="20"/>
      <c r="Z15" s="20"/>
      <c r="AA15" s="4"/>
      <c r="AB15" s="20"/>
      <c r="AC15" s="4"/>
      <c r="AD15" s="4"/>
      <c r="AE15" s="4"/>
    </row>
    <row r="16" spans="1:33" s="10" customFormat="1" ht="14.25" customHeight="1" x14ac:dyDescent="0.3">
      <c r="A16" s="41"/>
      <c r="B16" s="4"/>
      <c r="C16" s="4"/>
      <c r="D16" s="4"/>
      <c r="E16" s="4"/>
      <c r="F16" s="4"/>
      <c r="G16" s="4"/>
      <c r="H16" s="4"/>
      <c r="I16" s="4"/>
      <c r="J16" s="4"/>
      <c r="K16" s="4"/>
      <c r="L16" s="4"/>
      <c r="M16" s="4"/>
      <c r="N16" s="4"/>
      <c r="O16" s="4"/>
      <c r="P16" s="4"/>
      <c r="Q16" s="4"/>
      <c r="R16" s="4"/>
      <c r="S16" s="4"/>
      <c r="T16" s="20"/>
      <c r="U16" s="4"/>
      <c r="V16" s="4"/>
      <c r="W16" s="4"/>
      <c r="X16" s="11"/>
      <c r="Y16" s="20"/>
      <c r="Z16" s="20"/>
      <c r="AA16" s="4"/>
      <c r="AB16" s="20"/>
      <c r="AC16" s="4"/>
      <c r="AD16" s="4"/>
      <c r="AE16" s="4"/>
    </row>
    <row r="17" spans="1:32" s="10" customFormat="1" ht="14.25" customHeight="1" x14ac:dyDescent="0.3">
      <c r="A17" s="41"/>
      <c r="B17" s="4"/>
      <c r="C17" s="4"/>
      <c r="D17" s="4"/>
      <c r="E17" s="4"/>
      <c r="F17" s="4"/>
      <c r="G17" s="4"/>
      <c r="H17" s="4" t="s">
        <v>41</v>
      </c>
      <c r="I17" s="4"/>
      <c r="J17" s="4"/>
      <c r="K17" s="4"/>
      <c r="L17" s="4"/>
      <c r="M17" s="4"/>
      <c r="N17" s="4"/>
      <c r="O17" s="4"/>
      <c r="P17" s="4"/>
      <c r="Q17" s="4"/>
      <c r="R17" s="4"/>
      <c r="S17" s="4"/>
      <c r="T17" s="20"/>
      <c r="U17" s="4"/>
      <c r="V17" s="4"/>
      <c r="W17" s="4"/>
      <c r="X17" s="11"/>
      <c r="Y17" s="20"/>
      <c r="Z17" s="20"/>
      <c r="AA17" s="4"/>
      <c r="AB17" s="20"/>
      <c r="AC17" s="4"/>
      <c r="AD17" s="4"/>
      <c r="AE17" s="4"/>
    </row>
    <row r="18" spans="1:32" s="10" customFormat="1" ht="14.25" customHeight="1" x14ac:dyDescent="0.3">
      <c r="A18" s="41"/>
      <c r="B18" s="4"/>
      <c r="C18" s="4"/>
      <c r="D18" s="4"/>
      <c r="E18" s="4"/>
      <c r="F18" s="4"/>
      <c r="G18" s="4"/>
      <c r="H18" s="4"/>
      <c r="I18" s="4"/>
      <c r="J18" s="4"/>
      <c r="K18" s="4"/>
      <c r="L18" s="4"/>
      <c r="M18" s="4"/>
      <c r="N18" s="4"/>
      <c r="O18" s="4"/>
      <c r="P18" s="4"/>
      <c r="Q18" s="4"/>
      <c r="R18" s="4"/>
      <c r="S18" s="4"/>
      <c r="T18" s="20"/>
      <c r="U18" s="4"/>
      <c r="V18" s="4"/>
      <c r="W18" s="4"/>
      <c r="X18" s="11"/>
      <c r="Y18" s="20"/>
      <c r="Z18" s="20"/>
      <c r="AA18" s="4"/>
      <c r="AB18" s="20"/>
      <c r="AC18" s="4"/>
      <c r="AD18" s="4"/>
      <c r="AE18" s="4"/>
    </row>
    <row r="19" spans="1:32" s="10" customFormat="1" ht="14.25" customHeight="1" x14ac:dyDescent="0.3">
      <c r="A19" s="41"/>
      <c r="B19" s="4"/>
      <c r="C19" s="4"/>
      <c r="D19" s="4"/>
      <c r="E19" s="4"/>
      <c r="F19" s="4"/>
      <c r="G19" s="4"/>
      <c r="H19" s="4"/>
      <c r="I19" s="4"/>
      <c r="J19" s="4"/>
      <c r="K19" s="4"/>
      <c r="L19" s="4"/>
      <c r="M19" s="4"/>
      <c r="N19" s="4"/>
      <c r="O19" s="4"/>
      <c r="P19" s="4"/>
      <c r="Q19" s="4"/>
      <c r="R19" s="4"/>
      <c r="S19" s="4"/>
      <c r="T19" s="20"/>
      <c r="U19" s="4"/>
      <c r="V19" s="4"/>
      <c r="W19" s="4"/>
      <c r="X19" s="4"/>
      <c r="Y19" s="20"/>
      <c r="Z19" s="20"/>
      <c r="AA19" s="4"/>
      <c r="AB19" s="20"/>
      <c r="AC19" s="4"/>
      <c r="AD19" s="4"/>
      <c r="AE19" s="4"/>
    </row>
    <row r="20" spans="1:32" s="10" customFormat="1" ht="14.25" customHeight="1" x14ac:dyDescent="0.3">
      <c r="A20" s="41"/>
      <c r="B20" s="4"/>
      <c r="C20" s="4"/>
      <c r="D20" s="4"/>
      <c r="E20" s="4"/>
      <c r="F20" s="4"/>
      <c r="G20" s="4"/>
      <c r="H20" s="4"/>
      <c r="I20" s="4"/>
      <c r="J20" s="4"/>
      <c r="K20" s="4"/>
      <c r="L20" s="4"/>
      <c r="M20" s="4"/>
      <c r="N20" s="4"/>
      <c r="O20" s="4"/>
      <c r="P20" s="4"/>
      <c r="Q20" s="4"/>
      <c r="R20" s="4"/>
      <c r="S20" s="4"/>
      <c r="T20" s="20"/>
      <c r="U20" s="4"/>
      <c r="V20" s="4"/>
      <c r="W20" s="4"/>
      <c r="X20" s="4"/>
      <c r="Y20" s="20"/>
      <c r="Z20" s="20"/>
      <c r="AA20" s="4"/>
      <c r="AB20" s="20"/>
      <c r="AC20" s="4"/>
      <c r="AD20" s="4"/>
      <c r="AE20" s="4"/>
    </row>
    <row r="21" spans="1:32" s="10" customFormat="1" ht="14.25" customHeight="1" x14ac:dyDescent="0.3">
      <c r="A21" s="41"/>
      <c r="B21" s="4"/>
      <c r="C21" s="4"/>
      <c r="D21" s="4"/>
      <c r="E21" s="4"/>
      <c r="F21" s="4"/>
      <c r="G21" s="4"/>
      <c r="H21" s="4"/>
      <c r="I21" s="4"/>
      <c r="J21" s="4"/>
      <c r="K21" s="4"/>
      <c r="L21" s="4"/>
      <c r="M21" s="4"/>
      <c r="N21" s="4"/>
      <c r="O21" s="4"/>
      <c r="P21" s="4"/>
      <c r="Q21" s="4"/>
      <c r="R21" s="4"/>
      <c r="S21" s="4"/>
      <c r="T21" s="20"/>
      <c r="U21" s="4"/>
      <c r="V21" s="4"/>
      <c r="W21" s="4"/>
      <c r="X21" s="4"/>
      <c r="Y21" s="20"/>
      <c r="Z21" s="20"/>
      <c r="AA21" s="4"/>
      <c r="AB21" s="20"/>
      <c r="AC21" s="4"/>
      <c r="AD21" s="4"/>
      <c r="AE21" s="4"/>
    </row>
    <row r="22" spans="1:32" s="10" customFormat="1" ht="14.25" customHeight="1" x14ac:dyDescent="0.3">
      <c r="A22" s="51"/>
      <c r="B22" s="21"/>
      <c r="C22" s="4"/>
      <c r="D22" s="4"/>
      <c r="E22" s="4"/>
      <c r="F22" s="4"/>
      <c r="G22" s="4"/>
      <c r="H22" s="4"/>
      <c r="I22" s="4"/>
      <c r="J22" s="21"/>
      <c r="K22" s="21"/>
      <c r="L22" s="21"/>
      <c r="M22" s="4"/>
      <c r="N22" s="4"/>
      <c r="O22" s="4"/>
      <c r="P22" s="4"/>
      <c r="Q22" s="4"/>
      <c r="R22" s="4"/>
      <c r="S22" s="4"/>
      <c r="T22" s="20"/>
      <c r="U22" s="4"/>
      <c r="V22" s="4"/>
      <c r="W22" s="4"/>
      <c r="X22" s="4"/>
      <c r="Y22" s="20"/>
      <c r="Z22" s="20"/>
      <c r="AA22" s="4"/>
      <c r="AB22" s="20"/>
      <c r="AC22" s="4"/>
      <c r="AD22" s="4"/>
      <c r="AE22" s="21"/>
    </row>
    <row r="23" spans="1:32" s="10" customFormat="1" ht="14.25" customHeight="1" x14ac:dyDescent="0.3">
      <c r="A23" s="51"/>
      <c r="B23" s="21"/>
      <c r="C23" s="4"/>
      <c r="D23" s="4"/>
      <c r="E23" s="4"/>
      <c r="F23" s="4"/>
      <c r="G23" s="4"/>
      <c r="H23" s="4"/>
      <c r="I23" s="4"/>
      <c r="J23" s="21"/>
      <c r="K23" s="21"/>
      <c r="L23" s="21"/>
      <c r="M23" s="4"/>
      <c r="N23" s="4"/>
      <c r="O23" s="4"/>
      <c r="P23" s="4"/>
      <c r="Q23" s="4"/>
      <c r="R23" s="4"/>
      <c r="S23" s="4"/>
      <c r="T23" s="20"/>
      <c r="U23" s="4"/>
      <c r="V23" s="4"/>
      <c r="W23" s="4"/>
      <c r="X23" s="4"/>
      <c r="Y23" s="20"/>
      <c r="Z23" s="20"/>
      <c r="AA23" s="4"/>
      <c r="AB23" s="20"/>
      <c r="AC23" s="4"/>
      <c r="AD23" s="4"/>
      <c r="AE23" s="21"/>
    </row>
    <row r="24" spans="1:32" s="10" customFormat="1" ht="14.25" customHeight="1" x14ac:dyDescent="0.3">
      <c r="A24" s="51"/>
      <c r="B24" s="21"/>
      <c r="C24" s="4"/>
      <c r="D24" s="4"/>
      <c r="E24" s="4"/>
      <c r="F24" s="4"/>
      <c r="G24" s="4"/>
      <c r="H24" s="4"/>
      <c r="I24" s="4"/>
      <c r="J24" s="21"/>
      <c r="K24" s="21"/>
      <c r="L24" s="21"/>
      <c r="M24" s="21"/>
      <c r="N24" s="21"/>
      <c r="O24" s="21"/>
      <c r="P24" s="21"/>
      <c r="Q24" s="21"/>
      <c r="R24" s="21"/>
      <c r="S24" s="21"/>
      <c r="T24" s="20"/>
      <c r="U24" s="21"/>
      <c r="V24" s="4"/>
      <c r="W24" s="4"/>
      <c r="X24" s="4"/>
      <c r="Y24" s="20"/>
      <c r="Z24" s="20"/>
      <c r="AA24" s="4"/>
      <c r="AB24" s="20"/>
      <c r="AC24" s="21"/>
      <c r="AD24" s="21"/>
      <c r="AE24" s="21"/>
    </row>
    <row r="25" spans="1:32" s="10" customFormat="1" ht="14.25" customHeight="1" x14ac:dyDescent="0.3">
      <c r="A25" s="51"/>
      <c r="B25" s="21"/>
      <c r="C25" s="4"/>
      <c r="D25" s="4"/>
      <c r="E25" s="4"/>
      <c r="F25" s="4"/>
      <c r="G25" s="4"/>
      <c r="H25" s="4"/>
      <c r="I25" s="4"/>
      <c r="J25" s="21"/>
      <c r="K25" s="21"/>
      <c r="L25" s="21"/>
      <c r="M25" s="21"/>
      <c r="N25" s="21"/>
      <c r="O25" s="21"/>
      <c r="P25" s="21"/>
      <c r="Q25" s="21"/>
      <c r="R25" s="21"/>
      <c r="S25" s="21"/>
      <c r="T25" s="20"/>
      <c r="U25" s="21"/>
      <c r="V25" s="4"/>
      <c r="W25" s="4"/>
      <c r="X25" s="4"/>
      <c r="Y25" s="20"/>
      <c r="Z25" s="20"/>
      <c r="AA25" s="4"/>
      <c r="AB25" s="20"/>
      <c r="AC25" s="21"/>
      <c r="AD25" s="21"/>
      <c r="AE25" s="21"/>
    </row>
    <row r="26" spans="1:32" s="4" customFormat="1" ht="14.25" customHeight="1" x14ac:dyDescent="0.3">
      <c r="A26" s="51"/>
      <c r="B26" s="21"/>
      <c r="J26" s="21"/>
      <c r="K26" s="21"/>
      <c r="L26" s="21"/>
      <c r="M26" s="21"/>
      <c r="N26" s="21"/>
      <c r="O26" s="21"/>
      <c r="P26" s="21"/>
      <c r="Q26" s="21"/>
      <c r="R26" s="21"/>
      <c r="S26" s="21"/>
      <c r="T26" s="20"/>
      <c r="U26" s="21"/>
      <c r="Y26" s="20"/>
      <c r="Z26" s="20"/>
      <c r="AB26" s="20"/>
      <c r="AC26" s="21"/>
      <c r="AD26" s="21"/>
      <c r="AE26" s="21"/>
      <c r="AF26" s="10"/>
    </row>
    <row r="27" spans="1:32" s="4" customFormat="1" ht="14.25" customHeight="1" x14ac:dyDescent="0.3">
      <c r="A27" s="51"/>
      <c r="B27" s="21"/>
      <c r="J27" s="21"/>
      <c r="K27" s="21"/>
      <c r="L27" s="21"/>
      <c r="M27" s="21"/>
      <c r="N27" s="21"/>
      <c r="O27" s="21"/>
      <c r="P27" s="21"/>
      <c r="Q27" s="21"/>
      <c r="R27" s="21"/>
      <c r="S27" s="21"/>
      <c r="T27" s="20"/>
      <c r="U27" s="21"/>
      <c r="Y27" s="20"/>
      <c r="Z27" s="20"/>
      <c r="AB27" s="20"/>
      <c r="AC27" s="21"/>
      <c r="AD27" s="21"/>
      <c r="AE27" s="21"/>
      <c r="AF27" s="10"/>
    </row>
    <row r="28" spans="1:32" s="10" customFormat="1" ht="14.25" customHeight="1" x14ac:dyDescent="0.3">
      <c r="A28" s="51"/>
      <c r="B28" s="21"/>
      <c r="C28" s="4"/>
      <c r="D28" s="4"/>
      <c r="E28" s="4"/>
      <c r="F28" s="4"/>
      <c r="G28" s="4"/>
      <c r="H28" s="4"/>
      <c r="I28" s="4"/>
      <c r="J28" s="21"/>
      <c r="K28" s="21"/>
      <c r="L28" s="21"/>
      <c r="M28" s="21"/>
      <c r="N28" s="21"/>
      <c r="O28" s="21"/>
      <c r="P28" s="21"/>
      <c r="Q28" s="21"/>
      <c r="R28" s="21"/>
      <c r="S28" s="21"/>
      <c r="T28" s="20"/>
      <c r="U28" s="21"/>
      <c r="V28" s="4"/>
      <c r="W28" s="4"/>
      <c r="X28" s="4"/>
      <c r="Y28" s="20"/>
      <c r="Z28" s="20"/>
      <c r="AA28" s="4"/>
      <c r="AB28" s="20"/>
      <c r="AC28" s="21"/>
      <c r="AD28" s="21"/>
      <c r="AE28" s="21"/>
    </row>
    <row r="29" spans="1:32" s="10" customFormat="1" ht="14.25" customHeight="1" x14ac:dyDescent="0.3">
      <c r="A29" s="51"/>
      <c r="B29" s="21"/>
      <c r="C29" s="4"/>
      <c r="D29" s="4"/>
      <c r="E29" s="4"/>
      <c r="F29" s="4"/>
      <c r="G29" s="4"/>
      <c r="H29" s="4"/>
      <c r="I29" s="4"/>
      <c r="J29" s="21"/>
      <c r="K29" s="21"/>
      <c r="L29" s="21"/>
      <c r="M29" s="21"/>
      <c r="N29" s="21"/>
      <c r="O29" s="21"/>
      <c r="P29" s="21"/>
      <c r="Q29" s="21"/>
      <c r="R29" s="21"/>
      <c r="S29" s="21"/>
      <c r="T29" s="20"/>
      <c r="U29" s="21"/>
      <c r="V29" s="4"/>
      <c r="W29" s="4"/>
      <c r="X29" s="4"/>
      <c r="Y29" s="20"/>
      <c r="Z29" s="20"/>
      <c r="AA29" s="4"/>
      <c r="AB29" s="20"/>
      <c r="AC29" s="21"/>
      <c r="AD29" s="21"/>
      <c r="AE29" s="21"/>
    </row>
    <row r="30" spans="1:32" s="10" customFormat="1" ht="14.25" customHeight="1" x14ac:dyDescent="0.3">
      <c r="A30" s="51"/>
      <c r="B30" s="21"/>
      <c r="C30" s="4"/>
      <c r="D30" s="4"/>
      <c r="E30" s="4"/>
      <c r="F30" s="4"/>
      <c r="G30" s="4"/>
      <c r="H30" s="4"/>
      <c r="I30" s="4"/>
      <c r="J30" s="21"/>
      <c r="K30" s="21"/>
      <c r="L30" s="21"/>
      <c r="M30" s="21"/>
      <c r="N30" s="21"/>
      <c r="O30" s="21"/>
      <c r="P30" s="21"/>
      <c r="Q30" s="21"/>
      <c r="R30" s="21"/>
      <c r="S30" s="21"/>
      <c r="T30" s="20"/>
      <c r="U30" s="21"/>
      <c r="V30" s="4"/>
      <c r="W30" s="4"/>
      <c r="X30" s="4"/>
      <c r="Y30" s="20"/>
      <c r="Z30" s="20"/>
      <c r="AA30" s="4"/>
      <c r="AB30" s="20"/>
      <c r="AC30" s="21"/>
      <c r="AD30" s="21"/>
      <c r="AE30" s="21"/>
      <c r="AF30" s="4"/>
    </row>
    <row r="31" spans="1:32" s="10" customFormat="1" ht="14.25" customHeight="1" x14ac:dyDescent="0.3">
      <c r="A31" s="51"/>
      <c r="B31" s="21"/>
      <c r="C31" s="4"/>
      <c r="D31" s="4"/>
      <c r="E31" s="4"/>
      <c r="F31" s="4"/>
      <c r="G31" s="4"/>
      <c r="H31" s="4"/>
      <c r="I31" s="4"/>
      <c r="J31" s="21"/>
      <c r="K31" s="21"/>
      <c r="L31" s="21"/>
      <c r="M31" s="21"/>
      <c r="N31" s="21"/>
      <c r="O31" s="21"/>
      <c r="P31" s="21"/>
      <c r="Q31" s="21"/>
      <c r="R31" s="21"/>
      <c r="S31" s="21"/>
      <c r="T31" s="20"/>
      <c r="U31" s="21"/>
      <c r="V31" s="4"/>
      <c r="W31" s="4"/>
      <c r="X31" s="4"/>
      <c r="Y31" s="20"/>
      <c r="Z31" s="20"/>
      <c r="AA31" s="4"/>
      <c r="AB31" s="20"/>
      <c r="AC31" s="21"/>
      <c r="AD31" s="21"/>
      <c r="AE31" s="21"/>
      <c r="AF31" s="4"/>
    </row>
    <row r="32" spans="1:32" s="10" customFormat="1" ht="14.25" customHeight="1" x14ac:dyDescent="0.3">
      <c r="A32" s="51"/>
      <c r="B32" s="21"/>
      <c r="C32" s="4"/>
      <c r="D32" s="4"/>
      <c r="E32" s="4"/>
      <c r="F32" s="4"/>
      <c r="G32" s="4"/>
      <c r="H32" s="4"/>
      <c r="I32" s="4"/>
      <c r="J32" s="21"/>
      <c r="K32" s="21"/>
      <c r="L32" s="21"/>
      <c r="M32" s="21"/>
      <c r="N32" s="21"/>
      <c r="O32" s="21"/>
      <c r="P32" s="21"/>
      <c r="Q32" s="21"/>
      <c r="R32" s="21"/>
      <c r="S32" s="21"/>
      <c r="T32" s="20"/>
      <c r="U32" s="21"/>
      <c r="V32" s="4"/>
      <c r="W32" s="4"/>
      <c r="X32" s="4"/>
      <c r="Y32" s="20"/>
      <c r="Z32" s="20"/>
      <c r="AA32" s="4"/>
      <c r="AB32" s="20"/>
      <c r="AC32" s="21"/>
      <c r="AD32" s="21"/>
      <c r="AE32" s="21"/>
    </row>
    <row r="33" spans="1:31" s="10" customFormat="1" ht="14.25" customHeight="1" x14ac:dyDescent="0.3">
      <c r="A33" s="51"/>
      <c r="B33" s="21"/>
      <c r="C33" s="4"/>
      <c r="D33" s="4"/>
      <c r="E33" s="4"/>
      <c r="F33" s="4"/>
      <c r="G33" s="4"/>
      <c r="H33" s="4"/>
      <c r="I33" s="4"/>
      <c r="J33" s="21"/>
      <c r="K33" s="21"/>
      <c r="L33" s="21"/>
      <c r="M33" s="21"/>
      <c r="N33" s="21"/>
      <c r="O33" s="21"/>
      <c r="P33" s="21"/>
      <c r="Q33" s="21"/>
      <c r="R33" s="21"/>
      <c r="S33" s="21"/>
      <c r="T33" s="20"/>
      <c r="U33" s="21"/>
      <c r="V33" s="4"/>
      <c r="W33" s="4"/>
      <c r="X33" s="4"/>
      <c r="Y33" s="20"/>
      <c r="Z33" s="20"/>
      <c r="AA33" s="4"/>
      <c r="AB33" s="20"/>
      <c r="AC33" s="21"/>
      <c r="AD33" s="21"/>
      <c r="AE33" s="21"/>
    </row>
    <row r="34" spans="1:31" s="10" customFormat="1" ht="14.25" customHeight="1" x14ac:dyDescent="0.3">
      <c r="A34" s="51"/>
      <c r="B34" s="21"/>
      <c r="C34" s="4"/>
      <c r="D34" s="4"/>
      <c r="E34" s="4"/>
      <c r="F34" s="4"/>
      <c r="G34" s="4"/>
      <c r="H34" s="4"/>
      <c r="I34" s="4"/>
      <c r="J34" s="21"/>
      <c r="K34" s="21"/>
      <c r="L34" s="21"/>
      <c r="M34" s="21"/>
      <c r="N34" s="21"/>
      <c r="O34" s="21"/>
      <c r="P34" s="21"/>
      <c r="Q34" s="21"/>
      <c r="R34" s="21"/>
      <c r="S34" s="21"/>
      <c r="T34" s="20"/>
      <c r="U34" s="21"/>
      <c r="V34" s="4"/>
      <c r="W34" s="4"/>
      <c r="X34" s="4"/>
      <c r="Y34" s="20"/>
      <c r="Z34" s="20"/>
      <c r="AA34" s="4"/>
      <c r="AB34" s="20"/>
      <c r="AC34" s="21"/>
      <c r="AD34" s="21"/>
      <c r="AE34" s="21"/>
    </row>
    <row r="35" spans="1:31" s="10" customFormat="1" ht="14.25" customHeight="1" x14ac:dyDescent="0.3">
      <c r="A35" s="51"/>
      <c r="B35" s="21"/>
      <c r="C35" s="4"/>
      <c r="D35" s="4"/>
      <c r="E35" s="4"/>
      <c r="F35" s="4"/>
      <c r="G35" s="4"/>
      <c r="H35" s="4"/>
      <c r="I35" s="4"/>
      <c r="J35" s="21"/>
      <c r="K35" s="21"/>
      <c r="L35" s="21"/>
      <c r="M35" s="21"/>
      <c r="N35" s="21"/>
      <c r="O35" s="21"/>
      <c r="P35" s="21"/>
      <c r="Q35" s="21"/>
      <c r="R35" s="21"/>
      <c r="S35" s="21"/>
      <c r="T35" s="20"/>
      <c r="U35" s="21"/>
      <c r="V35" s="4"/>
      <c r="W35" s="4"/>
      <c r="X35" s="4"/>
      <c r="Y35" s="20"/>
      <c r="Z35" s="20"/>
      <c r="AA35" s="4"/>
      <c r="AB35" s="20"/>
      <c r="AC35" s="21"/>
      <c r="AD35" s="21"/>
      <c r="AE35" s="21"/>
    </row>
    <row r="36" spans="1:31" s="10" customFormat="1" ht="14.25" customHeight="1" x14ac:dyDescent="0.3">
      <c r="A36" s="51"/>
      <c r="B36" s="21"/>
      <c r="C36" s="4"/>
      <c r="D36" s="4"/>
      <c r="E36" s="4"/>
      <c r="F36" s="4"/>
      <c r="G36" s="4"/>
      <c r="H36" s="4"/>
      <c r="I36" s="4"/>
      <c r="J36" s="21"/>
      <c r="K36" s="21"/>
      <c r="L36" s="21"/>
      <c r="M36" s="21"/>
      <c r="N36" s="21"/>
      <c r="O36" s="21"/>
      <c r="P36" s="21"/>
      <c r="Q36" s="21"/>
      <c r="R36" s="21"/>
      <c r="S36" s="21"/>
      <c r="T36" s="20"/>
      <c r="U36" s="21"/>
      <c r="V36" s="4"/>
      <c r="W36" s="4"/>
      <c r="X36" s="4"/>
      <c r="Y36" s="20"/>
      <c r="Z36" s="20"/>
      <c r="AA36" s="4"/>
      <c r="AB36" s="20"/>
      <c r="AC36" s="21"/>
      <c r="AD36" s="21"/>
      <c r="AE36" s="21"/>
    </row>
    <row r="37" spans="1:31" s="10" customFormat="1" ht="14.25" customHeight="1" x14ac:dyDescent="0.3">
      <c r="A37" s="51"/>
      <c r="B37" s="21"/>
      <c r="C37" s="4"/>
      <c r="D37" s="4"/>
      <c r="E37" s="4"/>
      <c r="F37" s="4"/>
      <c r="G37" s="4"/>
      <c r="H37" s="4"/>
      <c r="I37" s="4"/>
      <c r="J37" s="21"/>
      <c r="K37" s="21"/>
      <c r="L37" s="21"/>
      <c r="M37" s="21"/>
      <c r="N37" s="21"/>
      <c r="O37" s="21"/>
      <c r="P37" s="21"/>
      <c r="Q37" s="21"/>
      <c r="R37" s="21"/>
      <c r="S37" s="21"/>
      <c r="T37" s="20"/>
      <c r="U37" s="21"/>
      <c r="V37" s="4"/>
      <c r="W37" s="4"/>
      <c r="X37" s="4"/>
      <c r="Y37" s="20"/>
      <c r="Z37" s="20"/>
      <c r="AA37" s="4"/>
      <c r="AB37" s="20"/>
      <c r="AC37" s="21"/>
      <c r="AD37" s="21"/>
      <c r="AE37" s="21"/>
    </row>
    <row r="38" spans="1:31" s="10" customFormat="1" ht="14.25" customHeight="1" x14ac:dyDescent="0.3">
      <c r="A38" s="51"/>
      <c r="B38" s="21"/>
      <c r="C38" s="4"/>
      <c r="D38" s="4"/>
      <c r="E38" s="4"/>
      <c r="F38" s="4"/>
      <c r="G38" s="4"/>
      <c r="H38" s="4"/>
      <c r="I38" s="4"/>
      <c r="J38" s="21"/>
      <c r="K38" s="21"/>
      <c r="L38" s="21"/>
      <c r="M38" s="21"/>
      <c r="N38" s="21"/>
      <c r="O38" s="21"/>
      <c r="P38" s="21"/>
      <c r="Q38" s="21"/>
      <c r="R38" s="21"/>
      <c r="S38" s="21"/>
      <c r="T38" s="20"/>
      <c r="U38" s="21"/>
      <c r="V38" s="4"/>
      <c r="W38" s="4"/>
      <c r="X38" s="4"/>
      <c r="Y38" s="20"/>
      <c r="Z38" s="20"/>
      <c r="AA38" s="4"/>
      <c r="AB38" s="20"/>
      <c r="AC38" s="21"/>
      <c r="AD38" s="21"/>
      <c r="AE38" s="21"/>
    </row>
    <row r="39" spans="1:31" s="10" customFormat="1" ht="14.25" customHeight="1" x14ac:dyDescent="0.3">
      <c r="A39" s="51"/>
      <c r="B39" s="21"/>
      <c r="C39" s="4"/>
      <c r="D39" s="4"/>
      <c r="E39" s="4"/>
      <c r="F39" s="4"/>
      <c r="G39" s="4"/>
      <c r="H39" s="4"/>
      <c r="I39" s="4"/>
      <c r="J39" s="21"/>
      <c r="K39" s="21"/>
      <c r="L39" s="21"/>
      <c r="M39" s="21"/>
      <c r="N39" s="21"/>
      <c r="O39" s="21"/>
      <c r="P39" s="21"/>
      <c r="Q39" s="21"/>
      <c r="R39" s="21"/>
      <c r="S39" s="21"/>
      <c r="T39" s="20"/>
      <c r="U39" s="21"/>
      <c r="V39" s="4"/>
      <c r="W39" s="4"/>
      <c r="X39" s="4"/>
      <c r="Y39" s="20"/>
      <c r="Z39" s="20"/>
      <c r="AA39" s="4"/>
      <c r="AB39" s="20"/>
      <c r="AC39" s="21"/>
      <c r="AD39" s="21"/>
      <c r="AE39" s="21"/>
    </row>
    <row r="40" spans="1:31" s="10" customFormat="1" ht="14.25" customHeight="1" x14ac:dyDescent="0.3">
      <c r="A40" s="51"/>
      <c r="B40" s="21"/>
      <c r="C40" s="4"/>
      <c r="D40" s="4"/>
      <c r="E40" s="4"/>
      <c r="F40" s="4"/>
      <c r="G40" s="4"/>
      <c r="H40" s="4"/>
      <c r="I40" s="4"/>
      <c r="J40" s="21"/>
      <c r="K40" s="21"/>
      <c r="L40" s="21"/>
      <c r="M40" s="21"/>
      <c r="N40" s="21"/>
      <c r="O40" s="21"/>
      <c r="P40" s="21"/>
      <c r="Q40" s="21"/>
      <c r="R40" s="21"/>
      <c r="S40" s="21"/>
      <c r="T40" s="20"/>
      <c r="U40" s="21"/>
      <c r="V40" s="4"/>
      <c r="W40" s="4"/>
      <c r="X40" s="4"/>
      <c r="Y40" s="20"/>
      <c r="Z40" s="20"/>
      <c r="AA40" s="4"/>
      <c r="AB40" s="20"/>
      <c r="AC40" s="21"/>
      <c r="AD40" s="21"/>
      <c r="AE40" s="21"/>
    </row>
    <row r="41" spans="1:31" s="10" customFormat="1" ht="14.25" customHeight="1" x14ac:dyDescent="0.3">
      <c r="A41" s="51"/>
      <c r="B41" s="21"/>
      <c r="C41" s="4"/>
      <c r="D41" s="4"/>
      <c r="E41" s="4"/>
      <c r="F41" s="4"/>
      <c r="G41" s="4"/>
      <c r="H41" s="4"/>
      <c r="I41" s="4"/>
      <c r="J41" s="21"/>
      <c r="K41" s="21"/>
      <c r="L41" s="21"/>
      <c r="M41" s="21"/>
      <c r="N41" s="21"/>
      <c r="O41" s="21"/>
      <c r="P41" s="21"/>
      <c r="Q41" s="21"/>
      <c r="R41" s="21"/>
      <c r="S41" s="21"/>
      <c r="T41" s="20"/>
      <c r="U41" s="21"/>
      <c r="V41" s="4"/>
      <c r="W41" s="4"/>
      <c r="X41" s="4"/>
      <c r="Y41" s="20"/>
      <c r="Z41" s="20"/>
      <c r="AA41" s="4"/>
      <c r="AB41" s="20"/>
      <c r="AC41" s="21"/>
      <c r="AD41" s="21"/>
      <c r="AE41" s="21"/>
    </row>
    <row r="42" spans="1:31" s="10" customFormat="1" ht="14.25" customHeight="1" x14ac:dyDescent="0.3">
      <c r="A42" s="51"/>
      <c r="B42" s="21"/>
      <c r="C42" s="4"/>
      <c r="D42" s="4"/>
      <c r="E42" s="4"/>
      <c r="F42" s="4"/>
      <c r="G42" s="4"/>
      <c r="H42" s="4"/>
      <c r="I42" s="4"/>
      <c r="J42" s="21"/>
      <c r="K42" s="21"/>
      <c r="L42" s="21"/>
      <c r="M42" s="21"/>
      <c r="N42" s="21"/>
      <c r="O42" s="21"/>
      <c r="P42" s="21"/>
      <c r="Q42" s="21"/>
      <c r="R42" s="21"/>
      <c r="S42" s="21"/>
      <c r="T42" s="20"/>
      <c r="U42" s="21"/>
      <c r="V42" s="4"/>
      <c r="W42" s="4"/>
      <c r="X42" s="4"/>
      <c r="Y42" s="20"/>
      <c r="Z42" s="20"/>
      <c r="AA42" s="4"/>
      <c r="AB42" s="20"/>
      <c r="AC42" s="21"/>
      <c r="AD42" s="21"/>
      <c r="AE42" s="21"/>
    </row>
    <row r="43" spans="1:31" s="10" customFormat="1" ht="14.25" customHeight="1" x14ac:dyDescent="0.3">
      <c r="A43" s="51"/>
      <c r="B43" s="21"/>
      <c r="C43" s="4"/>
      <c r="D43" s="4"/>
      <c r="E43" s="4"/>
      <c r="F43" s="4"/>
      <c r="G43" s="4"/>
      <c r="H43" s="4"/>
      <c r="I43" s="4"/>
      <c r="J43" s="21"/>
      <c r="K43" s="21"/>
      <c r="L43" s="21"/>
      <c r="M43" s="21"/>
      <c r="N43" s="21"/>
      <c r="O43" s="21"/>
      <c r="P43" s="21"/>
      <c r="Q43" s="21"/>
      <c r="R43" s="21"/>
      <c r="S43" s="21"/>
      <c r="T43" s="20"/>
      <c r="U43" s="21"/>
      <c r="V43" s="4"/>
      <c r="W43" s="4"/>
      <c r="X43" s="4"/>
      <c r="Y43" s="20"/>
      <c r="Z43" s="20"/>
      <c r="AA43" s="4"/>
      <c r="AB43" s="20"/>
      <c r="AC43" s="21"/>
      <c r="AD43" s="21"/>
      <c r="AE43" s="21"/>
    </row>
    <row r="44" spans="1:31" s="10" customFormat="1" ht="14.25" customHeight="1" x14ac:dyDescent="0.3">
      <c r="A44" s="51"/>
      <c r="B44" s="21"/>
      <c r="C44" s="4"/>
      <c r="D44" s="4"/>
      <c r="E44" s="4"/>
      <c r="F44" s="4"/>
      <c r="G44" s="4"/>
      <c r="H44" s="4"/>
      <c r="I44" s="4"/>
      <c r="J44" s="21"/>
      <c r="K44" s="21"/>
      <c r="L44" s="21"/>
      <c r="M44" s="21"/>
      <c r="N44" s="21"/>
      <c r="O44" s="21"/>
      <c r="P44" s="21"/>
      <c r="Q44" s="21"/>
      <c r="R44" s="21"/>
      <c r="S44" s="21"/>
      <c r="T44" s="20"/>
      <c r="U44" s="21"/>
      <c r="V44" s="4"/>
      <c r="W44" s="4"/>
      <c r="X44" s="4"/>
      <c r="Y44" s="20"/>
      <c r="Z44" s="20"/>
      <c r="AA44" s="4"/>
      <c r="AB44" s="20"/>
      <c r="AC44" s="21"/>
      <c r="AD44" s="21"/>
      <c r="AE44" s="21"/>
    </row>
    <row r="45" spans="1:31" s="10" customFormat="1" ht="14.25" customHeight="1" x14ac:dyDescent="0.3">
      <c r="A45" s="51"/>
      <c r="B45" s="21"/>
      <c r="C45" s="4"/>
      <c r="D45" s="4"/>
      <c r="E45" s="4"/>
      <c r="F45" s="4"/>
      <c r="G45" s="4"/>
      <c r="H45" s="4"/>
      <c r="I45" s="4"/>
      <c r="J45" s="21"/>
      <c r="K45" s="21"/>
      <c r="L45" s="21"/>
      <c r="M45" s="21"/>
      <c r="N45" s="21"/>
      <c r="O45" s="21"/>
      <c r="P45" s="21"/>
      <c r="Q45" s="21"/>
      <c r="R45" s="21"/>
      <c r="S45" s="21"/>
      <c r="T45" s="20"/>
      <c r="U45" s="21"/>
      <c r="V45" s="4"/>
      <c r="W45" s="4"/>
      <c r="X45" s="4"/>
      <c r="Y45" s="20"/>
      <c r="Z45" s="20"/>
      <c r="AA45" s="4"/>
      <c r="AB45" s="20"/>
      <c r="AC45" s="21"/>
      <c r="AD45" s="21"/>
      <c r="AE45" s="21"/>
    </row>
    <row r="46" spans="1:31" s="10" customFormat="1" ht="14.25" customHeight="1" x14ac:dyDescent="0.3">
      <c r="A46" s="51"/>
      <c r="B46" s="21"/>
      <c r="C46" s="4"/>
      <c r="D46" s="4"/>
      <c r="E46" s="4"/>
      <c r="F46" s="4"/>
      <c r="G46" s="4"/>
      <c r="H46" s="4"/>
      <c r="I46" s="4"/>
      <c r="J46" s="21"/>
      <c r="K46" s="21"/>
      <c r="L46" s="21"/>
      <c r="M46" s="21"/>
      <c r="N46" s="21"/>
      <c r="O46" s="21"/>
      <c r="P46" s="21"/>
      <c r="Q46" s="21"/>
      <c r="R46" s="21"/>
      <c r="S46" s="21"/>
      <c r="T46" s="20"/>
      <c r="U46" s="21"/>
      <c r="V46" s="4"/>
      <c r="W46" s="4"/>
      <c r="X46" s="4"/>
      <c r="Y46" s="20"/>
      <c r="Z46" s="20"/>
      <c r="AA46" s="4"/>
      <c r="AB46" s="20"/>
      <c r="AC46" s="21"/>
      <c r="AD46" s="21"/>
      <c r="AE46" s="21"/>
    </row>
    <row r="47" spans="1:31" s="10" customFormat="1" ht="14.25" customHeight="1" x14ac:dyDescent="0.3">
      <c r="A47" s="51"/>
      <c r="B47" s="21"/>
      <c r="C47" s="4"/>
      <c r="D47" s="4"/>
      <c r="E47" s="4"/>
      <c r="F47" s="4"/>
      <c r="G47" s="4"/>
      <c r="H47" s="4"/>
      <c r="I47" s="4"/>
      <c r="J47" s="21"/>
      <c r="K47" s="21"/>
      <c r="L47" s="21"/>
      <c r="M47" s="21"/>
      <c r="N47" s="21"/>
      <c r="O47" s="21"/>
      <c r="P47" s="21"/>
      <c r="Q47" s="21"/>
      <c r="R47" s="21"/>
      <c r="S47" s="21"/>
      <c r="T47" s="20"/>
      <c r="U47" s="21"/>
      <c r="V47" s="4"/>
      <c r="W47" s="4"/>
      <c r="X47" s="4"/>
      <c r="Y47" s="20"/>
      <c r="Z47" s="20"/>
      <c r="AA47" s="4"/>
      <c r="AB47" s="20"/>
      <c r="AC47" s="21"/>
      <c r="AD47" s="21"/>
      <c r="AE47" s="21"/>
    </row>
    <row r="48" spans="1:31" s="10" customFormat="1" ht="14.25" customHeight="1" x14ac:dyDescent="0.3">
      <c r="A48" s="51"/>
      <c r="B48" s="21"/>
      <c r="C48" s="4"/>
      <c r="D48" s="4"/>
      <c r="E48" s="4"/>
      <c r="F48" s="4"/>
      <c r="G48" s="4"/>
      <c r="H48" s="4"/>
      <c r="I48" s="4"/>
      <c r="J48" s="21"/>
      <c r="K48" s="21"/>
      <c r="L48" s="21"/>
      <c r="M48" s="21"/>
      <c r="N48" s="21"/>
      <c r="O48" s="21"/>
      <c r="P48" s="21"/>
      <c r="Q48" s="21"/>
      <c r="R48" s="21"/>
      <c r="S48" s="21"/>
      <c r="T48" s="20"/>
      <c r="U48" s="21"/>
      <c r="V48" s="4"/>
      <c r="W48" s="4"/>
      <c r="X48" s="4"/>
      <c r="Y48" s="20"/>
      <c r="Z48" s="20"/>
      <c r="AA48" s="4"/>
      <c r="AB48" s="20"/>
      <c r="AC48" s="21"/>
      <c r="AD48" s="21"/>
      <c r="AE48" s="21"/>
    </row>
    <row r="49" spans="1:32" s="10" customFormat="1" ht="14.25" customHeight="1" x14ac:dyDescent="0.3">
      <c r="A49" s="51"/>
      <c r="B49" s="21"/>
      <c r="C49" s="4"/>
      <c r="D49" s="4"/>
      <c r="E49" s="4"/>
      <c r="F49" s="4"/>
      <c r="G49" s="4"/>
      <c r="H49" s="4"/>
      <c r="I49" s="4"/>
      <c r="J49" s="21"/>
      <c r="K49" s="21"/>
      <c r="L49" s="21"/>
      <c r="M49" s="21"/>
      <c r="N49" s="21"/>
      <c r="O49" s="21"/>
      <c r="P49" s="21"/>
      <c r="Q49" s="21"/>
      <c r="R49" s="21"/>
      <c r="S49" s="21"/>
      <c r="T49" s="20"/>
      <c r="U49" s="21"/>
      <c r="V49" s="4"/>
      <c r="W49" s="4"/>
      <c r="X49" s="4"/>
      <c r="Y49" s="20"/>
      <c r="Z49" s="20"/>
      <c r="AA49" s="4"/>
      <c r="AB49" s="20"/>
      <c r="AC49" s="21"/>
      <c r="AD49" s="21"/>
      <c r="AE49" s="21"/>
    </row>
    <row r="50" spans="1:32" s="10" customFormat="1" ht="14.25" customHeight="1" x14ac:dyDescent="0.3">
      <c r="A50" s="51"/>
      <c r="B50" s="21"/>
      <c r="C50" s="4"/>
      <c r="D50" s="4"/>
      <c r="E50" s="4"/>
      <c r="F50" s="4"/>
      <c r="G50" s="4"/>
      <c r="H50" s="4"/>
      <c r="I50" s="4"/>
      <c r="J50" s="21"/>
      <c r="K50" s="21"/>
      <c r="L50" s="21"/>
      <c r="M50" s="21"/>
      <c r="N50" s="21"/>
      <c r="O50" s="21"/>
      <c r="P50" s="21"/>
      <c r="Q50" s="21"/>
      <c r="R50" s="21"/>
      <c r="S50" s="21"/>
      <c r="T50" s="20"/>
      <c r="U50" s="21"/>
      <c r="V50" s="4"/>
      <c r="W50" s="4"/>
      <c r="X50" s="4"/>
      <c r="Y50" s="20"/>
      <c r="Z50" s="20"/>
      <c r="AA50" s="4"/>
      <c r="AB50" s="20"/>
      <c r="AC50" s="21"/>
      <c r="AD50" s="21"/>
      <c r="AE50" s="21"/>
    </row>
    <row r="51" spans="1:32" s="10" customFormat="1" ht="14.25" customHeight="1" x14ac:dyDescent="0.3">
      <c r="A51" s="51"/>
      <c r="B51" s="21"/>
      <c r="C51" s="4"/>
      <c r="D51" s="4"/>
      <c r="E51" s="4"/>
      <c r="F51" s="4"/>
      <c r="G51" s="4"/>
      <c r="H51" s="4"/>
      <c r="I51" s="4"/>
      <c r="J51" s="21"/>
      <c r="K51" s="21"/>
      <c r="L51" s="21"/>
      <c r="M51" s="21"/>
      <c r="N51" s="21"/>
      <c r="O51" s="21"/>
      <c r="P51" s="21"/>
      <c r="Q51" s="21"/>
      <c r="R51" s="21"/>
      <c r="S51" s="21"/>
      <c r="T51" s="20"/>
      <c r="U51" s="21"/>
      <c r="V51" s="4"/>
      <c r="W51" s="4"/>
      <c r="X51" s="4"/>
      <c r="Y51" s="20"/>
      <c r="Z51" s="20"/>
      <c r="AA51" s="4"/>
      <c r="AB51" s="20"/>
      <c r="AC51" s="21"/>
      <c r="AD51" s="21"/>
      <c r="AE51" s="21"/>
    </row>
    <row r="52" spans="1:32" ht="14.25" customHeight="1" x14ac:dyDescent="0.3">
      <c r="AF52" s="10"/>
    </row>
    <row r="53" spans="1:32" ht="14.25" customHeight="1" x14ac:dyDescent="0.3">
      <c r="AF53" s="10"/>
    </row>
    <row r="54" spans="1:32" s="10" customFormat="1" ht="14.25" customHeight="1" x14ac:dyDescent="0.3">
      <c r="A54" s="51"/>
      <c r="B54" s="21"/>
      <c r="C54" s="4"/>
      <c r="D54" s="4"/>
      <c r="E54" s="4"/>
      <c r="F54" s="4"/>
      <c r="G54" s="4"/>
      <c r="H54" s="4"/>
      <c r="I54" s="4"/>
      <c r="J54" s="21"/>
      <c r="K54" s="21"/>
      <c r="L54" s="21"/>
      <c r="M54" s="21"/>
      <c r="N54" s="21"/>
      <c r="O54" s="21"/>
      <c r="P54" s="21"/>
      <c r="Q54" s="21"/>
      <c r="R54" s="21"/>
      <c r="S54" s="21"/>
      <c r="T54" s="20"/>
      <c r="U54" s="21"/>
      <c r="V54" s="4"/>
      <c r="W54" s="4"/>
      <c r="X54" s="4"/>
      <c r="Y54" s="20"/>
      <c r="Z54" s="20"/>
      <c r="AA54" s="4"/>
      <c r="AB54" s="20"/>
      <c r="AC54" s="21"/>
      <c r="AD54" s="21"/>
      <c r="AE54" s="21"/>
    </row>
    <row r="55" spans="1:32" s="10" customFormat="1" ht="14.25" customHeight="1" x14ac:dyDescent="0.3">
      <c r="A55" s="51"/>
      <c r="B55" s="21"/>
      <c r="C55" s="4"/>
      <c r="D55" s="4"/>
      <c r="E55" s="4"/>
      <c r="F55" s="4"/>
      <c r="G55" s="4"/>
      <c r="H55" s="4"/>
      <c r="I55" s="4"/>
      <c r="J55" s="21"/>
      <c r="K55" s="21"/>
      <c r="L55" s="21"/>
      <c r="M55" s="21"/>
      <c r="N55" s="21"/>
      <c r="O55" s="21"/>
      <c r="P55" s="21"/>
      <c r="Q55" s="21"/>
      <c r="R55" s="21"/>
      <c r="S55" s="21"/>
      <c r="T55" s="20"/>
      <c r="U55" s="21"/>
      <c r="V55" s="4"/>
      <c r="W55" s="4"/>
      <c r="X55" s="4"/>
      <c r="Y55" s="20"/>
      <c r="Z55" s="20"/>
      <c r="AA55" s="4"/>
      <c r="AB55" s="20"/>
      <c r="AC55" s="21"/>
      <c r="AD55" s="21"/>
      <c r="AE55" s="21"/>
    </row>
    <row r="56" spans="1:32" s="10" customFormat="1" ht="14.25" customHeight="1" x14ac:dyDescent="0.3">
      <c r="A56" s="51"/>
      <c r="B56" s="21"/>
      <c r="C56" s="4"/>
      <c r="D56" s="4"/>
      <c r="E56" s="4"/>
      <c r="F56" s="4"/>
      <c r="G56" s="4"/>
      <c r="H56" s="4"/>
      <c r="I56" s="4"/>
      <c r="J56" s="21"/>
      <c r="K56" s="21"/>
      <c r="L56" s="21"/>
      <c r="M56" s="21"/>
      <c r="N56" s="21"/>
      <c r="O56" s="21"/>
      <c r="P56" s="21"/>
      <c r="Q56" s="21"/>
      <c r="R56" s="21"/>
      <c r="S56" s="21"/>
      <c r="T56" s="20"/>
      <c r="U56" s="21"/>
      <c r="V56" s="4"/>
      <c r="W56" s="4"/>
      <c r="X56" s="4"/>
      <c r="Y56" s="20"/>
      <c r="Z56" s="20"/>
      <c r="AA56" s="4"/>
      <c r="AB56" s="20"/>
      <c r="AC56" s="21"/>
      <c r="AD56" s="21"/>
      <c r="AE56" s="21"/>
      <c r="AF56" s="12"/>
    </row>
    <row r="57" spans="1:32" s="10" customFormat="1" ht="14.25" customHeight="1" x14ac:dyDescent="0.3">
      <c r="A57" s="51"/>
      <c r="B57" s="21"/>
      <c r="C57" s="4"/>
      <c r="D57" s="4"/>
      <c r="E57" s="4"/>
      <c r="F57" s="4"/>
      <c r="G57" s="4"/>
      <c r="H57" s="4"/>
      <c r="I57" s="4"/>
      <c r="J57" s="21"/>
      <c r="K57" s="21"/>
      <c r="L57" s="21"/>
      <c r="M57" s="21"/>
      <c r="N57" s="21"/>
      <c r="O57" s="21"/>
      <c r="P57" s="21"/>
      <c r="Q57" s="21"/>
      <c r="R57" s="21"/>
      <c r="S57" s="21"/>
      <c r="T57" s="20"/>
      <c r="U57" s="21"/>
      <c r="V57" s="4"/>
      <c r="W57" s="4"/>
      <c r="X57" s="4"/>
      <c r="Y57" s="20"/>
      <c r="Z57" s="20"/>
      <c r="AA57" s="4"/>
      <c r="AB57" s="20"/>
      <c r="AC57" s="21"/>
      <c r="AD57" s="21"/>
      <c r="AE57" s="21"/>
      <c r="AF57" s="12"/>
    </row>
    <row r="58" spans="1:32" ht="14.25" customHeight="1" x14ac:dyDescent="0.3">
      <c r="AF58" s="10"/>
    </row>
    <row r="59" spans="1:32" s="10" customFormat="1" ht="14.25" customHeight="1" x14ac:dyDescent="0.3">
      <c r="A59" s="51"/>
      <c r="B59" s="21"/>
      <c r="C59" s="4"/>
      <c r="D59" s="4"/>
      <c r="E59" s="4"/>
      <c r="F59" s="4"/>
      <c r="G59" s="4"/>
      <c r="H59" s="4"/>
      <c r="I59" s="4"/>
      <c r="J59" s="21"/>
      <c r="K59" s="21"/>
      <c r="L59" s="21"/>
      <c r="M59" s="21"/>
      <c r="N59" s="21"/>
      <c r="O59" s="21"/>
      <c r="P59" s="21"/>
      <c r="Q59" s="21"/>
      <c r="R59" s="21"/>
      <c r="S59" s="21"/>
      <c r="T59" s="20"/>
      <c r="U59" s="21"/>
      <c r="V59" s="4"/>
      <c r="W59" s="4"/>
      <c r="X59" s="4"/>
      <c r="Y59" s="20"/>
      <c r="Z59" s="20"/>
      <c r="AA59" s="4"/>
      <c r="AB59" s="20"/>
      <c r="AC59" s="21"/>
      <c r="AD59" s="21"/>
      <c r="AE59" s="21"/>
    </row>
    <row r="60" spans="1:32" s="10" customFormat="1" ht="14.25" customHeight="1" x14ac:dyDescent="0.3">
      <c r="A60" s="51"/>
      <c r="B60" s="21"/>
      <c r="C60" s="4"/>
      <c r="D60" s="4"/>
      <c r="E60" s="4"/>
      <c r="F60" s="4"/>
      <c r="G60" s="4"/>
      <c r="H60" s="4"/>
      <c r="I60" s="4"/>
      <c r="J60" s="21"/>
      <c r="K60" s="21"/>
      <c r="L60" s="21"/>
      <c r="M60" s="21"/>
      <c r="N60" s="21"/>
      <c r="O60" s="21"/>
      <c r="P60" s="21"/>
      <c r="Q60" s="21"/>
      <c r="R60" s="21"/>
      <c r="S60" s="21"/>
      <c r="T60" s="20"/>
      <c r="U60" s="21"/>
      <c r="V60" s="4"/>
      <c r="W60" s="4"/>
      <c r="X60" s="4"/>
      <c r="Y60" s="20"/>
      <c r="Z60" s="20"/>
      <c r="AA60" s="4"/>
      <c r="AB60" s="20"/>
      <c r="AC60" s="21"/>
      <c r="AD60" s="21"/>
      <c r="AE60" s="21"/>
    </row>
    <row r="61" spans="1:32" s="10" customFormat="1" ht="14.25" customHeight="1" x14ac:dyDescent="0.3">
      <c r="A61" s="51"/>
      <c r="B61" s="21"/>
      <c r="C61" s="4"/>
      <c r="D61" s="4"/>
      <c r="E61" s="4"/>
      <c r="F61" s="4"/>
      <c r="G61" s="4"/>
      <c r="H61" s="4"/>
      <c r="I61" s="4"/>
      <c r="J61" s="21"/>
      <c r="K61" s="21"/>
      <c r="L61" s="21"/>
      <c r="M61" s="21"/>
      <c r="N61" s="21"/>
      <c r="O61" s="21"/>
      <c r="P61" s="21"/>
      <c r="Q61" s="21"/>
      <c r="R61" s="21"/>
      <c r="S61" s="21"/>
      <c r="T61" s="20"/>
      <c r="U61" s="21"/>
      <c r="V61" s="4"/>
      <c r="W61" s="4"/>
      <c r="X61" s="4"/>
      <c r="Y61" s="20"/>
      <c r="Z61" s="20"/>
      <c r="AA61" s="4"/>
      <c r="AB61" s="20"/>
      <c r="AC61" s="21"/>
      <c r="AD61" s="21"/>
      <c r="AE61" s="21"/>
    </row>
    <row r="62" spans="1:32" s="10" customFormat="1" ht="14.25" customHeight="1" x14ac:dyDescent="0.3">
      <c r="A62" s="51"/>
      <c r="B62" s="21"/>
      <c r="C62" s="4"/>
      <c r="D62" s="4"/>
      <c r="E62" s="4"/>
      <c r="F62" s="4"/>
      <c r="G62" s="4"/>
      <c r="H62" s="4"/>
      <c r="I62" s="4"/>
      <c r="J62" s="21"/>
      <c r="K62" s="21"/>
      <c r="L62" s="21"/>
      <c r="M62" s="21"/>
      <c r="N62" s="21"/>
      <c r="O62" s="21"/>
      <c r="P62" s="21"/>
      <c r="Q62" s="21"/>
      <c r="R62" s="21"/>
      <c r="S62" s="21"/>
      <c r="T62" s="20"/>
      <c r="U62" s="21"/>
      <c r="V62" s="4"/>
      <c r="W62" s="4"/>
      <c r="X62" s="4"/>
      <c r="Y62" s="20"/>
      <c r="Z62" s="20"/>
      <c r="AA62" s="4"/>
      <c r="AB62" s="20"/>
      <c r="AC62" s="21"/>
      <c r="AD62" s="21"/>
      <c r="AE62" s="21"/>
      <c r="AF62" s="12"/>
    </row>
    <row r="63" spans="1:32" s="10" customFormat="1" ht="14.25" customHeight="1" x14ac:dyDescent="0.3">
      <c r="A63" s="51"/>
      <c r="B63" s="21"/>
      <c r="C63" s="4"/>
      <c r="D63" s="4"/>
      <c r="E63" s="4"/>
      <c r="F63" s="4"/>
      <c r="G63" s="4"/>
      <c r="H63" s="4"/>
      <c r="I63" s="4"/>
      <c r="J63" s="21"/>
      <c r="K63" s="21"/>
      <c r="L63" s="21"/>
      <c r="M63" s="21"/>
      <c r="N63" s="21"/>
      <c r="O63" s="21"/>
      <c r="P63" s="21"/>
      <c r="Q63" s="21"/>
      <c r="R63" s="21"/>
      <c r="S63" s="21"/>
      <c r="T63" s="20"/>
      <c r="U63" s="21"/>
      <c r="V63" s="4"/>
      <c r="W63" s="4"/>
      <c r="X63" s="4"/>
      <c r="Y63" s="20"/>
      <c r="Z63" s="20"/>
      <c r="AA63" s="4"/>
      <c r="AB63" s="20"/>
      <c r="AC63" s="21"/>
      <c r="AD63" s="21"/>
      <c r="AE63" s="21"/>
    </row>
    <row r="64" spans="1:32" s="10" customFormat="1" ht="14.25" customHeight="1" x14ac:dyDescent="0.3">
      <c r="A64" s="51"/>
      <c r="B64" s="21"/>
      <c r="C64" s="4"/>
      <c r="D64" s="4"/>
      <c r="E64" s="4"/>
      <c r="F64" s="4"/>
      <c r="G64" s="4"/>
      <c r="H64" s="4"/>
      <c r="I64" s="4"/>
      <c r="J64" s="21"/>
      <c r="K64" s="21"/>
      <c r="L64" s="21"/>
      <c r="M64" s="21"/>
      <c r="N64" s="21"/>
      <c r="O64" s="21"/>
      <c r="P64" s="21"/>
      <c r="Q64" s="21"/>
      <c r="R64" s="21"/>
      <c r="S64" s="21"/>
      <c r="T64" s="20"/>
      <c r="U64" s="21"/>
      <c r="V64" s="4"/>
      <c r="W64" s="4"/>
      <c r="X64" s="4"/>
      <c r="Y64" s="20"/>
      <c r="Z64" s="20"/>
      <c r="AA64" s="4"/>
      <c r="AB64" s="20"/>
      <c r="AC64" s="21"/>
      <c r="AD64" s="21"/>
      <c r="AE64" s="21"/>
    </row>
    <row r="65" spans="1:32" s="10" customFormat="1" ht="14.25" customHeight="1" x14ac:dyDescent="0.3">
      <c r="A65" s="51"/>
      <c r="B65" s="21"/>
      <c r="C65" s="4"/>
      <c r="D65" s="4"/>
      <c r="E65" s="4"/>
      <c r="F65" s="4"/>
      <c r="G65" s="4"/>
      <c r="H65" s="4"/>
      <c r="I65" s="4"/>
      <c r="J65" s="21"/>
      <c r="K65" s="21"/>
      <c r="L65" s="21"/>
      <c r="M65" s="21"/>
      <c r="N65" s="21"/>
      <c r="O65" s="21"/>
      <c r="P65" s="21"/>
      <c r="Q65" s="21"/>
      <c r="R65" s="21"/>
      <c r="S65" s="21"/>
      <c r="T65" s="20"/>
      <c r="U65" s="21"/>
      <c r="V65" s="4"/>
      <c r="W65" s="4"/>
      <c r="X65" s="4"/>
      <c r="Y65" s="20"/>
      <c r="Z65" s="20"/>
      <c r="AA65" s="4"/>
      <c r="AB65" s="20"/>
      <c r="AC65" s="21"/>
      <c r="AD65" s="21"/>
      <c r="AE65" s="21"/>
    </row>
    <row r="66" spans="1:32" s="10" customFormat="1" ht="14.25" customHeight="1" x14ac:dyDescent="0.3">
      <c r="A66" s="51"/>
      <c r="B66" s="21"/>
      <c r="C66" s="4"/>
      <c r="D66" s="4"/>
      <c r="E66" s="4"/>
      <c r="F66" s="4"/>
      <c r="G66" s="4"/>
      <c r="H66" s="4"/>
      <c r="I66" s="4"/>
      <c r="J66" s="21"/>
      <c r="K66" s="21"/>
      <c r="L66" s="21"/>
      <c r="M66" s="21"/>
      <c r="N66" s="21"/>
      <c r="O66" s="21"/>
      <c r="P66" s="21"/>
      <c r="Q66" s="21"/>
      <c r="R66" s="21"/>
      <c r="S66" s="21"/>
      <c r="T66" s="20"/>
      <c r="U66" s="21"/>
      <c r="V66" s="4"/>
      <c r="W66" s="4"/>
      <c r="X66" s="4"/>
      <c r="Y66" s="20"/>
      <c r="Z66" s="20"/>
      <c r="AA66" s="4"/>
      <c r="AB66" s="20"/>
      <c r="AC66" s="21"/>
      <c r="AD66" s="21"/>
      <c r="AE66" s="21"/>
    </row>
    <row r="67" spans="1:32" s="10" customFormat="1" ht="14.25" customHeight="1" x14ac:dyDescent="0.3">
      <c r="A67" s="51"/>
      <c r="B67" s="21"/>
      <c r="C67" s="4"/>
      <c r="D67" s="4"/>
      <c r="E67" s="4"/>
      <c r="F67" s="4"/>
      <c r="G67" s="4"/>
      <c r="H67" s="4"/>
      <c r="I67" s="4"/>
      <c r="J67" s="21"/>
      <c r="K67" s="21"/>
      <c r="L67" s="21"/>
      <c r="M67" s="21"/>
      <c r="N67" s="21"/>
      <c r="O67" s="21"/>
      <c r="P67" s="21"/>
      <c r="Q67" s="21"/>
      <c r="R67" s="21"/>
      <c r="S67" s="21"/>
      <c r="T67" s="20"/>
      <c r="U67" s="21"/>
      <c r="V67" s="4"/>
      <c r="W67" s="4"/>
      <c r="X67" s="4"/>
      <c r="Y67" s="20"/>
      <c r="Z67" s="20"/>
      <c r="AA67" s="4"/>
      <c r="AB67" s="20"/>
      <c r="AC67" s="21"/>
      <c r="AD67" s="21"/>
      <c r="AE67" s="21"/>
    </row>
    <row r="68" spans="1:32" s="10" customFormat="1" ht="14.25" customHeight="1" x14ac:dyDescent="0.3">
      <c r="A68" s="51"/>
      <c r="B68" s="21"/>
      <c r="C68" s="4"/>
      <c r="D68" s="4"/>
      <c r="E68" s="4"/>
      <c r="F68" s="4"/>
      <c r="G68" s="4"/>
      <c r="H68" s="4"/>
      <c r="I68" s="4"/>
      <c r="J68" s="21"/>
      <c r="K68" s="21"/>
      <c r="L68" s="21"/>
      <c r="M68" s="21"/>
      <c r="N68" s="21"/>
      <c r="O68" s="21"/>
      <c r="P68" s="21"/>
      <c r="Q68" s="21"/>
      <c r="R68" s="21"/>
      <c r="S68" s="21"/>
      <c r="T68" s="20"/>
      <c r="U68" s="21"/>
      <c r="V68" s="4"/>
      <c r="W68" s="4"/>
      <c r="X68" s="4"/>
      <c r="Y68" s="20"/>
      <c r="Z68" s="20"/>
      <c r="AA68" s="4"/>
      <c r="AB68" s="20"/>
      <c r="AC68" s="21"/>
      <c r="AD68" s="21"/>
      <c r="AE68" s="21"/>
    </row>
    <row r="69" spans="1:32" s="10" customFormat="1" ht="14.25" customHeight="1" x14ac:dyDescent="0.3">
      <c r="A69" s="51"/>
      <c r="B69" s="21"/>
      <c r="C69" s="4"/>
      <c r="D69" s="4"/>
      <c r="E69" s="4"/>
      <c r="F69" s="4"/>
      <c r="G69" s="4"/>
      <c r="H69" s="4"/>
      <c r="I69" s="4"/>
      <c r="J69" s="21"/>
      <c r="K69" s="21"/>
      <c r="L69" s="21"/>
      <c r="M69" s="21"/>
      <c r="N69" s="21"/>
      <c r="O69" s="21"/>
      <c r="P69" s="21"/>
      <c r="Q69" s="21"/>
      <c r="R69" s="21"/>
      <c r="S69" s="21"/>
      <c r="T69" s="20"/>
      <c r="U69" s="21"/>
      <c r="V69" s="4"/>
      <c r="W69" s="4"/>
      <c r="X69" s="4"/>
      <c r="Y69" s="20"/>
      <c r="Z69" s="20"/>
      <c r="AA69" s="4"/>
      <c r="AB69" s="20"/>
      <c r="AC69" s="21"/>
      <c r="AD69" s="21"/>
      <c r="AE69" s="21"/>
    </row>
    <row r="70" spans="1:32" s="10" customFormat="1" ht="14.25" customHeight="1" x14ac:dyDescent="0.3">
      <c r="A70" s="51"/>
      <c r="B70" s="21"/>
      <c r="C70" s="4"/>
      <c r="D70" s="4"/>
      <c r="E70" s="4"/>
      <c r="F70" s="4"/>
      <c r="G70" s="4"/>
      <c r="H70" s="4"/>
      <c r="I70" s="4"/>
      <c r="J70" s="21"/>
      <c r="K70" s="21"/>
      <c r="L70" s="21"/>
      <c r="M70" s="21"/>
      <c r="N70" s="21"/>
      <c r="O70" s="21"/>
      <c r="P70" s="21"/>
      <c r="Q70" s="21"/>
      <c r="R70" s="21"/>
      <c r="S70" s="21"/>
      <c r="T70" s="20"/>
      <c r="U70" s="21"/>
      <c r="V70" s="4"/>
      <c r="W70" s="4"/>
      <c r="X70" s="4"/>
      <c r="Y70" s="20"/>
      <c r="Z70" s="20"/>
      <c r="AA70" s="4"/>
      <c r="AB70" s="20"/>
      <c r="AC70" s="21"/>
      <c r="AD70" s="21"/>
      <c r="AE70" s="21"/>
    </row>
    <row r="71" spans="1:32" s="10" customFormat="1" ht="14.25" customHeight="1" x14ac:dyDescent="0.3">
      <c r="A71" s="51"/>
      <c r="B71" s="21"/>
      <c r="C71" s="4"/>
      <c r="D71" s="4"/>
      <c r="E71" s="4"/>
      <c r="F71" s="4"/>
      <c r="G71" s="4"/>
      <c r="H71" s="4"/>
      <c r="I71" s="4"/>
      <c r="J71" s="21"/>
      <c r="K71" s="21"/>
      <c r="L71" s="21"/>
      <c r="M71" s="21"/>
      <c r="N71" s="21"/>
      <c r="O71" s="21"/>
      <c r="P71" s="21"/>
      <c r="Q71" s="21"/>
      <c r="R71" s="21"/>
      <c r="S71" s="21"/>
      <c r="T71" s="20"/>
      <c r="U71" s="21"/>
      <c r="V71" s="4"/>
      <c r="W71" s="4"/>
      <c r="X71" s="4"/>
      <c r="Y71" s="20"/>
      <c r="Z71" s="20"/>
      <c r="AA71" s="4"/>
      <c r="AB71" s="20"/>
      <c r="AC71" s="21"/>
      <c r="AD71" s="21"/>
      <c r="AE71" s="21"/>
    </row>
    <row r="72" spans="1:32" s="10" customFormat="1" ht="14.25" customHeight="1" x14ac:dyDescent="0.3">
      <c r="A72" s="51"/>
      <c r="B72" s="21"/>
      <c r="C72" s="4"/>
      <c r="D72" s="4"/>
      <c r="E72" s="4"/>
      <c r="F72" s="4"/>
      <c r="G72" s="4"/>
      <c r="H72" s="4"/>
      <c r="I72" s="4"/>
      <c r="J72" s="21"/>
      <c r="K72" s="21"/>
      <c r="L72" s="21"/>
      <c r="M72" s="21"/>
      <c r="N72" s="21"/>
      <c r="O72" s="21"/>
      <c r="P72" s="21"/>
      <c r="Q72" s="21"/>
      <c r="R72" s="21"/>
      <c r="S72" s="21"/>
      <c r="T72" s="20"/>
      <c r="U72" s="21"/>
      <c r="V72" s="4"/>
      <c r="W72" s="4"/>
      <c r="X72" s="4"/>
      <c r="Y72" s="20"/>
      <c r="Z72" s="20"/>
      <c r="AA72" s="4"/>
      <c r="AB72" s="20"/>
      <c r="AC72" s="21"/>
      <c r="AD72" s="21"/>
      <c r="AE72" s="21"/>
    </row>
    <row r="73" spans="1:32" s="10" customFormat="1" ht="14.25" customHeight="1" x14ac:dyDescent="0.3">
      <c r="A73" s="51"/>
      <c r="B73" s="21"/>
      <c r="C73" s="4"/>
      <c r="D73" s="4"/>
      <c r="E73" s="4"/>
      <c r="F73" s="4"/>
      <c r="G73" s="4"/>
      <c r="H73" s="4"/>
      <c r="I73" s="4"/>
      <c r="J73" s="21"/>
      <c r="K73" s="21"/>
      <c r="L73" s="21"/>
      <c r="M73" s="21"/>
      <c r="N73" s="21"/>
      <c r="O73" s="21"/>
      <c r="P73" s="21"/>
      <c r="Q73" s="21"/>
      <c r="R73" s="21"/>
      <c r="S73" s="21"/>
      <c r="T73" s="20"/>
      <c r="U73" s="21"/>
      <c r="V73" s="4"/>
      <c r="W73" s="4"/>
      <c r="X73" s="4"/>
      <c r="Y73" s="20"/>
      <c r="Z73" s="20"/>
      <c r="AA73" s="4"/>
      <c r="AB73" s="20"/>
      <c r="AC73" s="21"/>
      <c r="AD73" s="21"/>
      <c r="AE73" s="21"/>
    </row>
    <row r="74" spans="1:32" s="10" customFormat="1" ht="14.25" customHeight="1" x14ac:dyDescent="0.3">
      <c r="A74" s="51"/>
      <c r="B74" s="21"/>
      <c r="C74" s="4"/>
      <c r="D74" s="4"/>
      <c r="E74" s="4"/>
      <c r="F74" s="4"/>
      <c r="G74" s="4"/>
      <c r="H74" s="4"/>
      <c r="I74" s="4"/>
      <c r="J74" s="21"/>
      <c r="K74" s="21"/>
      <c r="L74" s="21"/>
      <c r="M74" s="21"/>
      <c r="N74" s="21"/>
      <c r="O74" s="21"/>
      <c r="P74" s="21"/>
      <c r="Q74" s="21"/>
      <c r="R74" s="21"/>
      <c r="S74" s="21"/>
      <c r="T74" s="20"/>
      <c r="U74" s="21"/>
      <c r="V74" s="4"/>
      <c r="W74" s="4"/>
      <c r="X74" s="4"/>
      <c r="Y74" s="20"/>
      <c r="Z74" s="20"/>
      <c r="AA74" s="4"/>
      <c r="AB74" s="20"/>
      <c r="AC74" s="21"/>
      <c r="AD74" s="21"/>
      <c r="AE74" s="21"/>
    </row>
    <row r="75" spans="1:32" s="10" customFormat="1" ht="14.25" customHeight="1" x14ac:dyDescent="0.3">
      <c r="A75" s="51"/>
      <c r="B75" s="21"/>
      <c r="C75" s="4"/>
      <c r="D75" s="4"/>
      <c r="E75" s="4"/>
      <c r="F75" s="4"/>
      <c r="G75" s="4"/>
      <c r="H75" s="4"/>
      <c r="I75" s="4"/>
      <c r="J75" s="21"/>
      <c r="K75" s="21"/>
      <c r="L75" s="21"/>
      <c r="M75" s="21"/>
      <c r="N75" s="21"/>
      <c r="O75" s="21"/>
      <c r="P75" s="21"/>
      <c r="Q75" s="21"/>
      <c r="R75" s="21"/>
      <c r="S75" s="21"/>
      <c r="T75" s="20"/>
      <c r="U75" s="21"/>
      <c r="V75" s="4"/>
      <c r="W75" s="4"/>
      <c r="X75" s="4"/>
      <c r="Y75" s="20"/>
      <c r="Z75" s="20"/>
      <c r="AA75" s="4"/>
      <c r="AB75" s="20"/>
      <c r="AC75" s="21"/>
      <c r="AD75" s="21"/>
      <c r="AE75" s="21"/>
    </row>
    <row r="76" spans="1:32" s="10" customFormat="1" ht="14.25" customHeight="1" x14ac:dyDescent="0.3">
      <c r="A76" s="51"/>
      <c r="B76" s="21"/>
      <c r="C76" s="4"/>
      <c r="D76" s="4"/>
      <c r="E76" s="4"/>
      <c r="F76" s="4"/>
      <c r="G76" s="4"/>
      <c r="H76" s="4"/>
      <c r="I76" s="4"/>
      <c r="J76" s="21"/>
      <c r="K76" s="21"/>
      <c r="L76" s="21"/>
      <c r="M76" s="21"/>
      <c r="N76" s="21"/>
      <c r="O76" s="21"/>
      <c r="P76" s="21"/>
      <c r="Q76" s="21"/>
      <c r="R76" s="21"/>
      <c r="S76" s="21"/>
      <c r="T76" s="20"/>
      <c r="U76" s="21"/>
      <c r="V76" s="4"/>
      <c r="W76" s="4"/>
      <c r="X76" s="4"/>
      <c r="Y76" s="20"/>
      <c r="Z76" s="20"/>
      <c r="AA76" s="4"/>
      <c r="AB76" s="20"/>
      <c r="AC76" s="21"/>
      <c r="AD76" s="21"/>
      <c r="AE76" s="21"/>
    </row>
    <row r="77" spans="1:32" s="10" customFormat="1" ht="14.25" customHeight="1" x14ac:dyDescent="0.3">
      <c r="A77" s="51"/>
      <c r="B77" s="21"/>
      <c r="C77" s="4"/>
      <c r="D77" s="4"/>
      <c r="E77" s="4"/>
      <c r="F77" s="4"/>
      <c r="G77" s="4"/>
      <c r="H77" s="4"/>
      <c r="I77" s="4"/>
      <c r="J77" s="21"/>
      <c r="K77" s="21"/>
      <c r="L77" s="21"/>
      <c r="M77" s="21"/>
      <c r="N77" s="21"/>
      <c r="O77" s="21"/>
      <c r="P77" s="21"/>
      <c r="Q77" s="21"/>
      <c r="R77" s="21"/>
      <c r="S77" s="21"/>
      <c r="T77" s="20"/>
      <c r="U77" s="21"/>
      <c r="V77" s="4"/>
      <c r="W77" s="4"/>
      <c r="X77" s="4"/>
      <c r="Y77" s="20"/>
      <c r="Z77" s="20"/>
      <c r="AA77" s="4"/>
      <c r="AB77" s="20"/>
      <c r="AC77" s="21"/>
      <c r="AD77" s="21"/>
      <c r="AE77" s="21"/>
    </row>
    <row r="78" spans="1:32" ht="14.25" customHeight="1" x14ac:dyDescent="0.3">
      <c r="AF78" s="10"/>
    </row>
    <row r="79" spans="1:32" s="10" customFormat="1" ht="14.25" customHeight="1" x14ac:dyDescent="0.3">
      <c r="A79" s="51"/>
      <c r="B79" s="21"/>
      <c r="C79" s="4"/>
      <c r="D79" s="4"/>
      <c r="E79" s="4"/>
      <c r="F79" s="4"/>
      <c r="G79" s="4"/>
      <c r="H79" s="4"/>
      <c r="I79" s="4"/>
      <c r="J79" s="21"/>
      <c r="K79" s="21"/>
      <c r="L79" s="21"/>
      <c r="M79" s="21"/>
      <c r="N79" s="21"/>
      <c r="O79" s="21"/>
      <c r="P79" s="21"/>
      <c r="Q79" s="21"/>
      <c r="R79" s="21"/>
      <c r="S79" s="21"/>
      <c r="T79" s="20"/>
      <c r="U79" s="21"/>
      <c r="V79" s="4"/>
      <c r="W79" s="4"/>
      <c r="X79" s="4"/>
      <c r="Y79" s="20"/>
      <c r="Z79" s="20"/>
      <c r="AA79" s="4"/>
      <c r="AB79" s="20"/>
      <c r="AC79" s="21"/>
      <c r="AD79" s="21"/>
      <c r="AE79" s="21"/>
    </row>
    <row r="80" spans="1:32" s="10" customFormat="1" ht="14.25" customHeight="1" x14ac:dyDescent="0.3">
      <c r="A80" s="51"/>
      <c r="B80" s="21"/>
      <c r="C80" s="4"/>
      <c r="D80" s="4"/>
      <c r="E80" s="4"/>
      <c r="F80" s="4"/>
      <c r="G80" s="4"/>
      <c r="H80" s="4"/>
      <c r="I80" s="4"/>
      <c r="J80" s="21"/>
      <c r="K80" s="21"/>
      <c r="L80" s="21"/>
      <c r="M80" s="21"/>
      <c r="N80" s="21"/>
      <c r="O80" s="21"/>
      <c r="P80" s="21"/>
      <c r="Q80" s="21"/>
      <c r="R80" s="21"/>
      <c r="S80" s="21"/>
      <c r="T80" s="20"/>
      <c r="U80" s="21"/>
      <c r="V80" s="4"/>
      <c r="W80" s="4"/>
      <c r="X80" s="4"/>
      <c r="Y80" s="20"/>
      <c r="Z80" s="20"/>
      <c r="AA80" s="4"/>
      <c r="AB80" s="20"/>
      <c r="AC80" s="21"/>
      <c r="AD80" s="21"/>
      <c r="AE80" s="21"/>
    </row>
    <row r="81" spans="1:32" s="10" customFormat="1" ht="14.25" customHeight="1" x14ac:dyDescent="0.3">
      <c r="A81" s="51"/>
      <c r="B81" s="21"/>
      <c r="C81" s="4"/>
      <c r="D81" s="4"/>
      <c r="E81" s="4"/>
      <c r="F81" s="4"/>
      <c r="G81" s="4"/>
      <c r="H81" s="4"/>
      <c r="I81" s="4"/>
      <c r="J81" s="21"/>
      <c r="K81" s="21"/>
      <c r="L81" s="21"/>
      <c r="M81" s="21"/>
      <c r="N81" s="21"/>
      <c r="O81" s="21"/>
      <c r="P81" s="21"/>
      <c r="Q81" s="21"/>
      <c r="R81" s="21"/>
      <c r="S81" s="21"/>
      <c r="T81" s="20"/>
      <c r="U81" s="21"/>
      <c r="V81" s="4"/>
      <c r="W81" s="4"/>
      <c r="X81" s="4"/>
      <c r="Y81" s="20"/>
      <c r="Z81" s="20"/>
      <c r="AA81" s="4"/>
      <c r="AB81" s="20"/>
      <c r="AC81" s="21"/>
      <c r="AD81" s="21"/>
      <c r="AE81" s="21"/>
    </row>
    <row r="82" spans="1:32" s="10" customFormat="1" ht="14.25" customHeight="1" x14ac:dyDescent="0.3">
      <c r="A82" s="51"/>
      <c r="B82" s="21"/>
      <c r="C82" s="4"/>
      <c r="D82" s="4"/>
      <c r="E82" s="4"/>
      <c r="F82" s="4"/>
      <c r="G82" s="4"/>
      <c r="H82" s="4"/>
      <c r="I82" s="4"/>
      <c r="J82" s="21"/>
      <c r="K82" s="21"/>
      <c r="L82" s="21"/>
      <c r="M82" s="21"/>
      <c r="N82" s="21"/>
      <c r="O82" s="21"/>
      <c r="P82" s="21"/>
      <c r="Q82" s="21"/>
      <c r="R82" s="21"/>
      <c r="S82" s="21"/>
      <c r="T82" s="20"/>
      <c r="U82" s="21"/>
      <c r="V82" s="4"/>
      <c r="W82" s="4"/>
      <c r="X82" s="4"/>
      <c r="Y82" s="20"/>
      <c r="Z82" s="20"/>
      <c r="AA82" s="4"/>
      <c r="AB82" s="20"/>
      <c r="AC82" s="21"/>
      <c r="AD82" s="21"/>
      <c r="AE82" s="21"/>
      <c r="AF82" s="12"/>
    </row>
    <row r="83" spans="1:32" s="10" customFormat="1" ht="14.25" customHeight="1" x14ac:dyDescent="0.3">
      <c r="A83" s="51"/>
      <c r="B83" s="21"/>
      <c r="C83" s="4"/>
      <c r="D83" s="4"/>
      <c r="E83" s="4"/>
      <c r="F83" s="4"/>
      <c r="G83" s="4"/>
      <c r="H83" s="4"/>
      <c r="I83" s="4"/>
      <c r="J83" s="21"/>
      <c r="K83" s="21"/>
      <c r="L83" s="21"/>
      <c r="M83" s="21"/>
      <c r="N83" s="21"/>
      <c r="O83" s="21"/>
      <c r="P83" s="21"/>
      <c r="Q83" s="21"/>
      <c r="R83" s="21"/>
      <c r="S83" s="21"/>
      <c r="T83" s="20"/>
      <c r="U83" s="21"/>
      <c r="V83" s="4"/>
      <c r="W83" s="4"/>
      <c r="X83" s="4"/>
      <c r="Y83" s="20"/>
      <c r="Z83" s="20"/>
      <c r="AA83" s="4"/>
      <c r="AB83" s="20"/>
      <c r="AC83" s="21"/>
      <c r="AD83" s="21"/>
      <c r="AE83" s="21"/>
    </row>
    <row r="84" spans="1:32" s="10" customFormat="1" ht="14.25" customHeight="1" x14ac:dyDescent="0.3">
      <c r="A84" s="51"/>
      <c r="B84" s="21"/>
      <c r="C84" s="4"/>
      <c r="D84" s="4"/>
      <c r="E84" s="4"/>
      <c r="F84" s="4"/>
      <c r="G84" s="4"/>
      <c r="H84" s="4"/>
      <c r="I84" s="4"/>
      <c r="J84" s="21"/>
      <c r="K84" s="21"/>
      <c r="L84" s="21"/>
      <c r="M84" s="21"/>
      <c r="N84" s="21"/>
      <c r="O84" s="21"/>
      <c r="P84" s="21"/>
      <c r="Q84" s="21"/>
      <c r="R84" s="21"/>
      <c r="S84" s="21"/>
      <c r="T84" s="20"/>
      <c r="U84" s="21"/>
      <c r="V84" s="4"/>
      <c r="W84" s="4"/>
      <c r="X84" s="4"/>
      <c r="Y84" s="20"/>
      <c r="Z84" s="20"/>
      <c r="AA84" s="4"/>
      <c r="AB84" s="20"/>
      <c r="AC84" s="21"/>
      <c r="AD84" s="21"/>
      <c r="AE84" s="21"/>
    </row>
    <row r="85" spans="1:32" s="10" customFormat="1" ht="14.25" customHeight="1" x14ac:dyDescent="0.3">
      <c r="A85" s="51"/>
      <c r="B85" s="21"/>
      <c r="C85" s="4"/>
      <c r="D85" s="4"/>
      <c r="E85" s="4"/>
      <c r="F85" s="4"/>
      <c r="G85" s="4"/>
      <c r="H85" s="4"/>
      <c r="I85" s="4"/>
      <c r="J85" s="21"/>
      <c r="K85" s="21"/>
      <c r="L85" s="21"/>
      <c r="M85" s="21"/>
      <c r="N85" s="21"/>
      <c r="O85" s="21"/>
      <c r="P85" s="21"/>
      <c r="Q85" s="21"/>
      <c r="R85" s="21"/>
      <c r="S85" s="21"/>
      <c r="T85" s="20"/>
      <c r="U85" s="21"/>
      <c r="V85" s="4"/>
      <c r="W85" s="4"/>
      <c r="X85" s="4"/>
      <c r="Y85" s="20"/>
      <c r="Z85" s="20"/>
      <c r="AA85" s="4"/>
      <c r="AB85" s="20"/>
      <c r="AC85" s="21"/>
      <c r="AD85" s="21"/>
      <c r="AE85" s="21"/>
    </row>
    <row r="86" spans="1:32" s="10" customFormat="1" ht="14.25" customHeight="1" x14ac:dyDescent="0.3">
      <c r="A86" s="51"/>
      <c r="B86" s="21"/>
      <c r="C86" s="4"/>
      <c r="D86" s="4"/>
      <c r="E86" s="4"/>
      <c r="F86" s="4"/>
      <c r="G86" s="4"/>
      <c r="H86" s="4"/>
      <c r="I86" s="4"/>
      <c r="J86" s="21"/>
      <c r="K86" s="21"/>
      <c r="L86" s="21"/>
      <c r="M86" s="21"/>
      <c r="N86" s="21"/>
      <c r="O86" s="21"/>
      <c r="P86" s="21"/>
      <c r="Q86" s="21"/>
      <c r="R86" s="21"/>
      <c r="S86" s="21"/>
      <c r="T86" s="20"/>
      <c r="U86" s="21"/>
      <c r="V86" s="4"/>
      <c r="W86" s="4"/>
      <c r="X86" s="4"/>
      <c r="Y86" s="20"/>
      <c r="Z86" s="20"/>
      <c r="AA86" s="4"/>
      <c r="AB86" s="20"/>
      <c r="AC86" s="21"/>
      <c r="AD86" s="21"/>
      <c r="AE86" s="21"/>
    </row>
    <row r="87" spans="1:32" s="10" customFormat="1" ht="14.25" customHeight="1" x14ac:dyDescent="0.3">
      <c r="A87" s="51"/>
      <c r="B87" s="21"/>
      <c r="C87" s="4"/>
      <c r="D87" s="4"/>
      <c r="E87" s="4"/>
      <c r="F87" s="4"/>
      <c r="G87" s="4"/>
      <c r="H87" s="4"/>
      <c r="I87" s="4"/>
      <c r="J87" s="21"/>
      <c r="K87" s="21"/>
      <c r="L87" s="21"/>
      <c r="M87" s="21"/>
      <c r="N87" s="21"/>
      <c r="O87" s="21"/>
      <c r="P87" s="21"/>
      <c r="Q87" s="21"/>
      <c r="R87" s="21"/>
      <c r="S87" s="21"/>
      <c r="T87" s="20"/>
      <c r="U87" s="21"/>
      <c r="V87" s="4"/>
      <c r="W87" s="4"/>
      <c r="X87" s="4"/>
      <c r="Y87" s="20"/>
      <c r="Z87" s="20"/>
      <c r="AA87" s="4"/>
      <c r="AB87" s="20"/>
      <c r="AC87" s="21"/>
      <c r="AD87" s="21"/>
      <c r="AE87" s="21"/>
    </row>
    <row r="88" spans="1:32" s="10" customFormat="1" ht="14.25" customHeight="1" x14ac:dyDescent="0.3">
      <c r="A88" s="51"/>
      <c r="B88" s="21"/>
      <c r="C88" s="4"/>
      <c r="D88" s="4"/>
      <c r="E88" s="4"/>
      <c r="F88" s="4"/>
      <c r="G88" s="4"/>
      <c r="H88" s="4"/>
      <c r="I88" s="4"/>
      <c r="J88" s="21"/>
      <c r="K88" s="21"/>
      <c r="L88" s="21"/>
      <c r="M88" s="21"/>
      <c r="N88" s="21"/>
      <c r="O88" s="21"/>
      <c r="P88" s="21"/>
      <c r="Q88" s="21"/>
      <c r="R88" s="21"/>
      <c r="S88" s="21"/>
      <c r="T88" s="20"/>
      <c r="U88" s="21"/>
      <c r="V88" s="4"/>
      <c r="W88" s="4"/>
      <c r="X88" s="4"/>
      <c r="Y88" s="20"/>
      <c r="Z88" s="20"/>
      <c r="AA88" s="4"/>
      <c r="AB88" s="20"/>
      <c r="AC88" s="21"/>
      <c r="AD88" s="21"/>
      <c r="AE88" s="21"/>
    </row>
    <row r="89" spans="1:32" s="10" customFormat="1" ht="14.25" customHeight="1" x14ac:dyDescent="0.3">
      <c r="A89" s="51"/>
      <c r="B89" s="21"/>
      <c r="C89" s="4"/>
      <c r="D89" s="4"/>
      <c r="E89" s="4"/>
      <c r="F89" s="4"/>
      <c r="G89" s="4"/>
      <c r="H89" s="4"/>
      <c r="I89" s="4"/>
      <c r="J89" s="21"/>
      <c r="K89" s="21"/>
      <c r="L89" s="21"/>
      <c r="M89" s="21"/>
      <c r="N89" s="21"/>
      <c r="O89" s="21"/>
      <c r="P89" s="21"/>
      <c r="Q89" s="21"/>
      <c r="R89" s="21"/>
      <c r="S89" s="21"/>
      <c r="T89" s="20"/>
      <c r="U89" s="21"/>
      <c r="V89" s="4"/>
      <c r="W89" s="4"/>
      <c r="X89" s="4"/>
      <c r="Y89" s="20"/>
      <c r="Z89" s="20"/>
      <c r="AA89" s="4"/>
      <c r="AB89" s="20"/>
      <c r="AC89" s="21"/>
      <c r="AD89" s="21"/>
      <c r="AE89" s="21"/>
    </row>
    <row r="90" spans="1:32" s="10" customFormat="1" ht="14.25" customHeight="1" x14ac:dyDescent="0.3">
      <c r="A90" s="51"/>
      <c r="B90" s="21"/>
      <c r="C90" s="4"/>
      <c r="D90" s="4"/>
      <c r="E90" s="4"/>
      <c r="F90" s="4"/>
      <c r="G90" s="4"/>
      <c r="H90" s="4"/>
      <c r="I90" s="4"/>
      <c r="J90" s="21"/>
      <c r="K90" s="21"/>
      <c r="L90" s="21"/>
      <c r="M90" s="21"/>
      <c r="N90" s="21"/>
      <c r="O90" s="21"/>
      <c r="P90" s="21"/>
      <c r="Q90" s="21"/>
      <c r="R90" s="21"/>
      <c r="S90" s="21"/>
      <c r="T90" s="20"/>
      <c r="U90" s="21"/>
      <c r="V90" s="4"/>
      <c r="W90" s="4"/>
      <c r="X90" s="4"/>
      <c r="Y90" s="20"/>
      <c r="Z90" s="20"/>
      <c r="AA90" s="4"/>
      <c r="AB90" s="20"/>
      <c r="AC90" s="21"/>
      <c r="AD90" s="21"/>
      <c r="AE90" s="21"/>
    </row>
    <row r="91" spans="1:32" s="10" customFormat="1" ht="14.25" customHeight="1" x14ac:dyDescent="0.3">
      <c r="A91" s="51"/>
      <c r="B91" s="21"/>
      <c r="C91" s="4"/>
      <c r="D91" s="4"/>
      <c r="E91" s="4"/>
      <c r="F91" s="4"/>
      <c r="G91" s="4"/>
      <c r="H91" s="4"/>
      <c r="I91" s="4"/>
      <c r="J91" s="21"/>
      <c r="K91" s="21"/>
      <c r="L91" s="21"/>
      <c r="M91" s="21"/>
      <c r="N91" s="21"/>
      <c r="O91" s="21"/>
      <c r="P91" s="21"/>
      <c r="Q91" s="21"/>
      <c r="R91" s="21"/>
      <c r="S91" s="21"/>
      <c r="T91" s="20"/>
      <c r="U91" s="21"/>
      <c r="V91" s="4"/>
      <c r="W91" s="4"/>
      <c r="X91" s="4"/>
      <c r="Y91" s="20"/>
      <c r="Z91" s="20"/>
      <c r="AA91" s="4"/>
      <c r="AB91" s="20"/>
      <c r="AC91" s="21"/>
      <c r="AD91" s="21"/>
      <c r="AE91" s="21"/>
    </row>
    <row r="92" spans="1:32" s="10" customFormat="1" ht="14.25" customHeight="1" x14ac:dyDescent="0.3">
      <c r="A92" s="51"/>
      <c r="B92" s="21"/>
      <c r="C92" s="4"/>
      <c r="D92" s="4"/>
      <c r="E92" s="4"/>
      <c r="F92" s="4"/>
      <c r="G92" s="4"/>
      <c r="H92" s="4"/>
      <c r="I92" s="4"/>
      <c r="J92" s="21"/>
      <c r="K92" s="21"/>
      <c r="L92" s="21"/>
      <c r="M92" s="21"/>
      <c r="N92" s="21"/>
      <c r="O92" s="21"/>
      <c r="P92" s="21"/>
      <c r="Q92" s="21"/>
      <c r="R92" s="21"/>
      <c r="S92" s="21"/>
      <c r="T92" s="20"/>
      <c r="U92" s="21"/>
      <c r="V92" s="4"/>
      <c r="W92" s="4"/>
      <c r="X92" s="4"/>
      <c r="Y92" s="20"/>
      <c r="Z92" s="20"/>
      <c r="AA92" s="4"/>
      <c r="AB92" s="20"/>
      <c r="AC92" s="21"/>
      <c r="AD92" s="21"/>
      <c r="AE92" s="21"/>
    </row>
    <row r="93" spans="1:32" s="10" customFormat="1" ht="14.25" customHeight="1" x14ac:dyDescent="0.3">
      <c r="A93" s="51"/>
      <c r="B93" s="21"/>
      <c r="C93" s="4"/>
      <c r="D93" s="4"/>
      <c r="E93" s="4"/>
      <c r="F93" s="4"/>
      <c r="G93" s="4"/>
      <c r="H93" s="4"/>
      <c r="I93" s="4"/>
      <c r="J93" s="21"/>
      <c r="K93" s="21"/>
      <c r="L93" s="21"/>
      <c r="M93" s="21"/>
      <c r="N93" s="21"/>
      <c r="O93" s="21"/>
      <c r="P93" s="21"/>
      <c r="Q93" s="21"/>
      <c r="R93" s="21"/>
      <c r="S93" s="21"/>
      <c r="T93" s="20"/>
      <c r="U93" s="21"/>
      <c r="V93" s="4"/>
      <c r="W93" s="4"/>
      <c r="X93" s="4"/>
      <c r="Y93" s="20"/>
      <c r="Z93" s="20"/>
      <c r="AA93" s="4"/>
      <c r="AB93" s="20"/>
      <c r="AC93" s="21"/>
      <c r="AD93" s="21"/>
      <c r="AE93" s="21"/>
    </row>
    <row r="94" spans="1:32" s="10" customFormat="1" ht="14.25" customHeight="1" x14ac:dyDescent="0.3">
      <c r="A94" s="51"/>
      <c r="B94" s="21"/>
      <c r="C94" s="4"/>
      <c r="D94" s="4"/>
      <c r="E94" s="4"/>
      <c r="F94" s="4"/>
      <c r="G94" s="4"/>
      <c r="H94" s="4"/>
      <c r="I94" s="4"/>
      <c r="J94" s="21"/>
      <c r="K94" s="21"/>
      <c r="L94" s="21"/>
      <c r="M94" s="21"/>
      <c r="N94" s="21"/>
      <c r="O94" s="21"/>
      <c r="P94" s="21"/>
      <c r="Q94" s="21"/>
      <c r="R94" s="21"/>
      <c r="S94" s="21"/>
      <c r="T94" s="20"/>
      <c r="U94" s="21"/>
      <c r="V94" s="4"/>
      <c r="W94" s="4"/>
      <c r="X94" s="4"/>
      <c r="Y94" s="20"/>
      <c r="Z94" s="20"/>
      <c r="AA94" s="4"/>
      <c r="AB94" s="20"/>
      <c r="AC94" s="21"/>
      <c r="AD94" s="21"/>
      <c r="AE94" s="21"/>
    </row>
    <row r="95" spans="1:32" s="10" customFormat="1" ht="14.25" customHeight="1" x14ac:dyDescent="0.3">
      <c r="A95" s="51"/>
      <c r="B95" s="21"/>
      <c r="C95" s="4"/>
      <c r="D95" s="4"/>
      <c r="E95" s="4"/>
      <c r="F95" s="4"/>
      <c r="G95" s="4"/>
      <c r="H95" s="4"/>
      <c r="I95" s="4"/>
      <c r="J95" s="21"/>
      <c r="K95" s="21"/>
      <c r="L95" s="21"/>
      <c r="M95" s="21"/>
      <c r="N95" s="21"/>
      <c r="O95" s="21"/>
      <c r="P95" s="21"/>
      <c r="Q95" s="21"/>
      <c r="R95" s="21"/>
      <c r="S95" s="21"/>
      <c r="T95" s="20"/>
      <c r="U95" s="21"/>
      <c r="V95" s="4"/>
      <c r="W95" s="4"/>
      <c r="X95" s="4"/>
      <c r="Y95" s="20"/>
      <c r="Z95" s="20"/>
      <c r="AA95" s="4"/>
      <c r="AB95" s="20"/>
      <c r="AC95" s="21"/>
      <c r="AD95" s="21"/>
      <c r="AE95" s="21"/>
    </row>
    <row r="96" spans="1:32" s="13" customFormat="1" ht="14.25" customHeight="1" x14ac:dyDescent="0.3">
      <c r="A96" s="51"/>
      <c r="B96" s="21"/>
      <c r="C96" s="4"/>
      <c r="D96" s="4"/>
      <c r="E96" s="4"/>
      <c r="F96" s="4"/>
      <c r="G96" s="4"/>
      <c r="H96" s="4"/>
      <c r="I96" s="4"/>
      <c r="J96" s="21"/>
      <c r="K96" s="21"/>
      <c r="L96" s="21"/>
      <c r="M96" s="21"/>
      <c r="N96" s="21"/>
      <c r="O96" s="21"/>
      <c r="P96" s="21"/>
      <c r="Q96" s="21"/>
      <c r="R96" s="21"/>
      <c r="S96" s="21"/>
      <c r="T96" s="20"/>
      <c r="U96" s="21"/>
      <c r="V96" s="4"/>
      <c r="W96" s="4"/>
      <c r="X96" s="4"/>
      <c r="Y96" s="20"/>
      <c r="Z96" s="20"/>
      <c r="AA96" s="4"/>
      <c r="AB96" s="20"/>
      <c r="AC96" s="21"/>
      <c r="AD96" s="21"/>
      <c r="AE96" s="21"/>
      <c r="AF96" s="10"/>
    </row>
    <row r="97" spans="1:32" s="10" customFormat="1" ht="14.25" customHeight="1" x14ac:dyDescent="0.3">
      <c r="A97" s="51"/>
      <c r="B97" s="21"/>
      <c r="C97" s="4"/>
      <c r="D97" s="4"/>
      <c r="E97" s="4"/>
      <c r="F97" s="4"/>
      <c r="G97" s="4"/>
      <c r="H97" s="4"/>
      <c r="I97" s="4"/>
      <c r="J97" s="21"/>
      <c r="K97" s="21"/>
      <c r="L97" s="21"/>
      <c r="M97" s="21"/>
      <c r="N97" s="21"/>
      <c r="O97" s="21"/>
      <c r="P97" s="21"/>
      <c r="Q97" s="21"/>
      <c r="R97" s="21"/>
      <c r="S97" s="21"/>
      <c r="T97" s="20"/>
      <c r="U97" s="21"/>
      <c r="V97" s="4"/>
      <c r="W97" s="4"/>
      <c r="X97" s="4"/>
      <c r="Y97" s="20"/>
      <c r="Z97" s="20"/>
      <c r="AA97" s="4"/>
      <c r="AB97" s="20"/>
      <c r="AC97" s="21"/>
      <c r="AD97" s="21"/>
      <c r="AE97" s="21"/>
    </row>
    <row r="98" spans="1:32" s="10" customFormat="1" ht="14.25" customHeight="1" x14ac:dyDescent="0.3">
      <c r="A98" s="51"/>
      <c r="B98" s="21"/>
      <c r="C98" s="4"/>
      <c r="D98" s="4"/>
      <c r="E98" s="4"/>
      <c r="F98" s="4"/>
      <c r="G98" s="4"/>
      <c r="H98" s="4"/>
      <c r="I98" s="4"/>
      <c r="J98" s="21"/>
      <c r="K98" s="21"/>
      <c r="L98" s="21"/>
      <c r="M98" s="21"/>
      <c r="N98" s="21"/>
      <c r="O98" s="21"/>
      <c r="P98" s="21"/>
      <c r="Q98" s="21"/>
      <c r="R98" s="21"/>
      <c r="S98" s="21"/>
      <c r="T98" s="20"/>
      <c r="U98" s="21"/>
      <c r="V98" s="4"/>
      <c r="W98" s="4"/>
      <c r="X98" s="4"/>
      <c r="Y98" s="20"/>
      <c r="Z98" s="20"/>
      <c r="AA98" s="4"/>
      <c r="AB98" s="20"/>
      <c r="AC98" s="21"/>
      <c r="AD98" s="21"/>
      <c r="AE98" s="21"/>
    </row>
    <row r="99" spans="1:32" s="10" customFormat="1" ht="14.25" customHeight="1" x14ac:dyDescent="0.3">
      <c r="A99" s="51"/>
      <c r="B99" s="21"/>
      <c r="C99" s="4"/>
      <c r="D99" s="4"/>
      <c r="E99" s="4"/>
      <c r="F99" s="4"/>
      <c r="G99" s="4"/>
      <c r="H99" s="4"/>
      <c r="I99" s="4"/>
      <c r="J99" s="21"/>
      <c r="K99" s="21"/>
      <c r="L99" s="21"/>
      <c r="M99" s="21"/>
      <c r="N99" s="21"/>
      <c r="O99" s="21"/>
      <c r="P99" s="21"/>
      <c r="Q99" s="21"/>
      <c r="R99" s="21"/>
      <c r="S99" s="21"/>
      <c r="T99" s="20"/>
      <c r="U99" s="21"/>
      <c r="V99" s="4"/>
      <c r="W99" s="4"/>
      <c r="X99" s="4"/>
      <c r="Y99" s="20"/>
      <c r="Z99" s="20"/>
      <c r="AA99" s="4"/>
      <c r="AB99" s="20"/>
      <c r="AC99" s="21"/>
      <c r="AD99" s="21"/>
      <c r="AE99" s="21"/>
    </row>
    <row r="100" spans="1:32" s="10" customFormat="1" ht="14.25" customHeight="1" x14ac:dyDescent="0.3">
      <c r="A100" s="51"/>
      <c r="B100" s="21"/>
      <c r="C100" s="4"/>
      <c r="D100" s="4"/>
      <c r="E100" s="4"/>
      <c r="F100" s="4"/>
      <c r="G100" s="4"/>
      <c r="H100" s="4"/>
      <c r="I100" s="4"/>
      <c r="J100" s="21"/>
      <c r="K100" s="21"/>
      <c r="L100" s="21"/>
      <c r="M100" s="21"/>
      <c r="N100" s="21"/>
      <c r="O100" s="21"/>
      <c r="P100" s="21"/>
      <c r="Q100" s="21"/>
      <c r="R100" s="21"/>
      <c r="S100" s="21"/>
      <c r="T100" s="20"/>
      <c r="U100" s="21"/>
      <c r="V100" s="4"/>
      <c r="W100" s="4"/>
      <c r="X100" s="4"/>
      <c r="Y100" s="20"/>
      <c r="Z100" s="20"/>
      <c r="AA100" s="4"/>
      <c r="AB100" s="20"/>
      <c r="AC100" s="21"/>
      <c r="AD100" s="21"/>
      <c r="AE100" s="21"/>
      <c r="AF100" s="13"/>
    </row>
    <row r="101" spans="1:32" s="10" customFormat="1" ht="14.25" customHeight="1" x14ac:dyDescent="0.3">
      <c r="A101" s="51"/>
      <c r="B101" s="21"/>
      <c r="C101" s="4"/>
      <c r="D101" s="4"/>
      <c r="E101" s="4"/>
      <c r="F101" s="4"/>
      <c r="G101" s="4"/>
      <c r="H101" s="4"/>
      <c r="I101" s="4"/>
      <c r="J101" s="21"/>
      <c r="K101" s="21"/>
      <c r="L101" s="21"/>
      <c r="M101" s="21"/>
      <c r="N101" s="21"/>
      <c r="O101" s="21"/>
      <c r="P101" s="21"/>
      <c r="Q101" s="21"/>
      <c r="R101" s="21"/>
      <c r="S101" s="21"/>
      <c r="T101" s="20"/>
      <c r="U101" s="21"/>
      <c r="V101" s="4"/>
      <c r="W101" s="4"/>
      <c r="X101" s="4"/>
      <c r="Y101" s="20"/>
      <c r="Z101" s="20"/>
      <c r="AA101" s="4"/>
      <c r="AB101" s="20"/>
      <c r="AC101" s="21"/>
      <c r="AD101" s="21"/>
      <c r="AE101" s="21"/>
    </row>
    <row r="102" spans="1:32" s="10" customFormat="1" ht="14.25" customHeight="1" x14ac:dyDescent="0.3">
      <c r="A102" s="51"/>
      <c r="B102" s="21"/>
      <c r="C102" s="4"/>
      <c r="D102" s="4"/>
      <c r="E102" s="4"/>
      <c r="F102" s="4"/>
      <c r="G102" s="4"/>
      <c r="H102" s="4"/>
      <c r="I102" s="4"/>
      <c r="J102" s="21"/>
      <c r="K102" s="21"/>
      <c r="L102" s="21"/>
      <c r="M102" s="21"/>
      <c r="N102" s="21"/>
      <c r="O102" s="21"/>
      <c r="P102" s="21"/>
      <c r="Q102" s="21"/>
      <c r="R102" s="21"/>
      <c r="S102" s="21"/>
      <c r="T102" s="20"/>
      <c r="U102" s="21"/>
      <c r="V102" s="4"/>
      <c r="W102" s="4"/>
      <c r="X102" s="4"/>
      <c r="Y102" s="20"/>
      <c r="Z102" s="20"/>
      <c r="AA102" s="4"/>
      <c r="AB102" s="20"/>
      <c r="AC102" s="21"/>
      <c r="AD102" s="21"/>
      <c r="AE102" s="21"/>
    </row>
    <row r="103" spans="1:32" s="10" customFormat="1" ht="14.25" customHeight="1" x14ac:dyDescent="0.3">
      <c r="A103" s="51"/>
      <c r="B103" s="21"/>
      <c r="C103" s="4"/>
      <c r="D103" s="4"/>
      <c r="E103" s="4"/>
      <c r="F103" s="4"/>
      <c r="G103" s="4"/>
      <c r="H103" s="4"/>
      <c r="I103" s="4"/>
      <c r="J103" s="21"/>
      <c r="K103" s="21"/>
      <c r="L103" s="21"/>
      <c r="M103" s="21"/>
      <c r="N103" s="21"/>
      <c r="O103" s="21"/>
      <c r="P103" s="21"/>
      <c r="Q103" s="21"/>
      <c r="R103" s="21"/>
      <c r="S103" s="21"/>
      <c r="T103" s="20"/>
      <c r="U103" s="21"/>
      <c r="V103" s="4"/>
      <c r="W103" s="4"/>
      <c r="X103" s="4"/>
      <c r="Y103" s="20"/>
      <c r="Z103" s="20"/>
      <c r="AA103" s="4"/>
      <c r="AB103" s="20"/>
      <c r="AC103" s="21"/>
      <c r="AD103" s="21"/>
      <c r="AE103" s="21"/>
    </row>
    <row r="104" spans="1:32" s="10" customFormat="1" ht="14.25" customHeight="1" x14ac:dyDescent="0.3">
      <c r="A104" s="51"/>
      <c r="B104" s="21"/>
      <c r="C104" s="4"/>
      <c r="D104" s="4"/>
      <c r="E104" s="4"/>
      <c r="F104" s="4"/>
      <c r="G104" s="4"/>
      <c r="H104" s="4"/>
      <c r="I104" s="4"/>
      <c r="J104" s="21"/>
      <c r="K104" s="21"/>
      <c r="L104" s="21"/>
      <c r="M104" s="21"/>
      <c r="N104" s="21"/>
      <c r="O104" s="21"/>
      <c r="P104" s="21"/>
      <c r="Q104" s="21"/>
      <c r="R104" s="21"/>
      <c r="S104" s="21"/>
      <c r="T104" s="20"/>
      <c r="U104" s="21"/>
      <c r="V104" s="4"/>
      <c r="W104" s="4"/>
      <c r="X104" s="4"/>
      <c r="Y104" s="20"/>
      <c r="Z104" s="20"/>
      <c r="AA104" s="4"/>
      <c r="AB104" s="20"/>
      <c r="AC104" s="21"/>
      <c r="AD104" s="21"/>
      <c r="AE104" s="21"/>
    </row>
    <row r="105" spans="1:32" s="10" customFormat="1" ht="14.25" customHeight="1" x14ac:dyDescent="0.3">
      <c r="A105" s="51"/>
      <c r="B105" s="21"/>
      <c r="C105" s="4"/>
      <c r="D105" s="4"/>
      <c r="E105" s="4"/>
      <c r="F105" s="4"/>
      <c r="G105" s="4"/>
      <c r="H105" s="4"/>
      <c r="I105" s="4"/>
      <c r="J105" s="21"/>
      <c r="K105" s="21"/>
      <c r="L105" s="21"/>
      <c r="M105" s="21"/>
      <c r="N105" s="21"/>
      <c r="O105" s="21"/>
      <c r="P105" s="21"/>
      <c r="Q105" s="21"/>
      <c r="R105" s="21"/>
      <c r="S105" s="21"/>
      <c r="T105" s="20"/>
      <c r="U105" s="21"/>
      <c r="V105" s="4"/>
      <c r="W105" s="4"/>
      <c r="X105" s="4"/>
      <c r="Y105" s="20"/>
      <c r="Z105" s="20"/>
      <c r="AA105" s="4"/>
      <c r="AB105" s="20"/>
      <c r="AC105" s="21"/>
      <c r="AD105" s="21"/>
      <c r="AE105" s="21"/>
    </row>
    <row r="106" spans="1:32" s="10" customFormat="1" ht="14.25" customHeight="1" x14ac:dyDescent="0.3">
      <c r="A106" s="51"/>
      <c r="B106" s="21"/>
      <c r="C106" s="4"/>
      <c r="D106" s="4"/>
      <c r="E106" s="4"/>
      <c r="F106" s="4"/>
      <c r="G106" s="4"/>
      <c r="H106" s="4"/>
      <c r="I106" s="4"/>
      <c r="J106" s="21"/>
      <c r="K106" s="21"/>
      <c r="L106" s="21"/>
      <c r="M106" s="21"/>
      <c r="N106" s="21"/>
      <c r="O106" s="21"/>
      <c r="P106" s="21"/>
      <c r="Q106" s="21"/>
      <c r="R106" s="21"/>
      <c r="S106" s="21"/>
      <c r="T106" s="20"/>
      <c r="U106" s="21"/>
      <c r="V106" s="4"/>
      <c r="W106" s="4"/>
      <c r="X106" s="4"/>
      <c r="Y106" s="20"/>
      <c r="Z106" s="20"/>
      <c r="AA106" s="4"/>
      <c r="AB106" s="20"/>
      <c r="AC106" s="21"/>
      <c r="AD106" s="21"/>
      <c r="AE106" s="21"/>
    </row>
    <row r="107" spans="1:32" s="10" customFormat="1" ht="14.25" customHeight="1" x14ac:dyDescent="0.3">
      <c r="A107" s="51"/>
      <c r="B107" s="21"/>
      <c r="C107" s="4"/>
      <c r="D107" s="4"/>
      <c r="E107" s="4"/>
      <c r="F107" s="4"/>
      <c r="G107" s="4"/>
      <c r="H107" s="4"/>
      <c r="I107" s="4"/>
      <c r="J107" s="21"/>
      <c r="K107" s="21"/>
      <c r="L107" s="21"/>
      <c r="M107" s="21"/>
      <c r="N107" s="21"/>
      <c r="O107" s="21"/>
      <c r="P107" s="21"/>
      <c r="Q107" s="21"/>
      <c r="R107" s="21"/>
      <c r="S107" s="21"/>
      <c r="T107" s="20"/>
      <c r="U107" s="21"/>
      <c r="V107" s="4"/>
      <c r="W107" s="4"/>
      <c r="X107" s="4"/>
      <c r="Y107" s="20"/>
      <c r="Z107" s="20"/>
      <c r="AA107" s="4"/>
      <c r="AB107" s="20"/>
      <c r="AC107" s="21"/>
      <c r="AD107" s="21"/>
      <c r="AE107" s="21"/>
    </row>
    <row r="108" spans="1:32" s="10" customFormat="1" ht="14.25" customHeight="1" x14ac:dyDescent="0.3">
      <c r="A108" s="51"/>
      <c r="B108" s="21"/>
      <c r="C108" s="4"/>
      <c r="D108" s="4"/>
      <c r="E108" s="4"/>
      <c r="F108" s="4"/>
      <c r="G108" s="4"/>
      <c r="H108" s="4"/>
      <c r="I108" s="4"/>
      <c r="J108" s="21"/>
      <c r="K108" s="21"/>
      <c r="L108" s="21"/>
      <c r="M108" s="21"/>
      <c r="N108" s="21"/>
      <c r="O108" s="21"/>
      <c r="P108" s="21"/>
      <c r="Q108" s="21"/>
      <c r="R108" s="21"/>
      <c r="S108" s="21"/>
      <c r="T108" s="20"/>
      <c r="U108" s="21"/>
      <c r="V108" s="4"/>
      <c r="W108" s="4"/>
      <c r="X108" s="4"/>
      <c r="Y108" s="20"/>
      <c r="Z108" s="20"/>
      <c r="AA108" s="4"/>
      <c r="AB108" s="20"/>
      <c r="AC108" s="21"/>
      <c r="AD108" s="21"/>
      <c r="AE108" s="21"/>
    </row>
    <row r="109" spans="1:32" s="10" customFormat="1" ht="14.25" customHeight="1" x14ac:dyDescent="0.3">
      <c r="A109" s="51"/>
      <c r="B109" s="21"/>
      <c r="C109" s="4"/>
      <c r="D109" s="4"/>
      <c r="E109" s="4"/>
      <c r="F109" s="4"/>
      <c r="G109" s="4"/>
      <c r="H109" s="4"/>
      <c r="I109" s="4"/>
      <c r="J109" s="21"/>
      <c r="K109" s="21"/>
      <c r="L109" s="21"/>
      <c r="M109" s="21"/>
      <c r="N109" s="21"/>
      <c r="O109" s="21"/>
      <c r="P109" s="21"/>
      <c r="Q109" s="21"/>
      <c r="R109" s="21"/>
      <c r="S109" s="21"/>
      <c r="T109" s="20"/>
      <c r="U109" s="21"/>
      <c r="V109" s="4"/>
      <c r="W109" s="4"/>
      <c r="X109" s="4"/>
      <c r="Y109" s="20"/>
      <c r="Z109" s="20"/>
      <c r="AA109" s="4"/>
      <c r="AB109" s="20"/>
      <c r="AC109" s="21"/>
      <c r="AD109" s="21"/>
      <c r="AE109" s="21"/>
    </row>
    <row r="110" spans="1:32" s="10" customFormat="1" ht="14.25" customHeight="1" x14ac:dyDescent="0.3">
      <c r="A110" s="51"/>
      <c r="B110" s="21"/>
      <c r="C110" s="4"/>
      <c r="D110" s="4"/>
      <c r="E110" s="4"/>
      <c r="F110" s="4"/>
      <c r="G110" s="4"/>
      <c r="H110" s="4"/>
      <c r="I110" s="4"/>
      <c r="J110" s="21"/>
      <c r="K110" s="21"/>
      <c r="L110" s="21"/>
      <c r="M110" s="21"/>
      <c r="N110" s="21"/>
      <c r="O110" s="21"/>
      <c r="P110" s="21"/>
      <c r="Q110" s="21"/>
      <c r="R110" s="21"/>
      <c r="S110" s="21"/>
      <c r="T110" s="20"/>
      <c r="U110" s="21"/>
      <c r="V110" s="4"/>
      <c r="W110" s="4"/>
      <c r="X110" s="4"/>
      <c r="Y110" s="20"/>
      <c r="Z110" s="20"/>
      <c r="AA110" s="4"/>
      <c r="AB110" s="20"/>
      <c r="AC110" s="21"/>
      <c r="AD110" s="21"/>
      <c r="AE110" s="21"/>
    </row>
    <row r="111" spans="1:32" s="10" customFormat="1" ht="14.25" customHeight="1" x14ac:dyDescent="0.3">
      <c r="A111" s="51"/>
      <c r="B111" s="21"/>
      <c r="C111" s="4"/>
      <c r="D111" s="4"/>
      <c r="E111" s="4"/>
      <c r="F111" s="4"/>
      <c r="G111" s="4"/>
      <c r="H111" s="4"/>
      <c r="I111" s="4"/>
      <c r="J111" s="21"/>
      <c r="K111" s="21"/>
      <c r="L111" s="21"/>
      <c r="M111" s="21"/>
      <c r="N111" s="21"/>
      <c r="O111" s="21"/>
      <c r="P111" s="21"/>
      <c r="Q111" s="21"/>
      <c r="R111" s="21"/>
      <c r="S111" s="21"/>
      <c r="T111" s="20"/>
      <c r="U111" s="21"/>
      <c r="V111" s="4"/>
      <c r="W111" s="4"/>
      <c r="X111" s="4"/>
      <c r="Y111" s="20"/>
      <c r="Z111" s="20"/>
      <c r="AA111" s="4"/>
      <c r="AB111" s="20"/>
      <c r="AC111" s="21"/>
      <c r="AD111" s="21"/>
      <c r="AE111" s="21"/>
    </row>
    <row r="112" spans="1:32" s="10" customFormat="1" ht="14.25" customHeight="1" x14ac:dyDescent="0.3">
      <c r="A112" s="51"/>
      <c r="B112" s="21"/>
      <c r="C112" s="4"/>
      <c r="D112" s="4"/>
      <c r="E112" s="4"/>
      <c r="F112" s="4"/>
      <c r="G112" s="4"/>
      <c r="H112" s="4"/>
      <c r="I112" s="4"/>
      <c r="J112" s="21"/>
      <c r="K112" s="21"/>
      <c r="L112" s="21"/>
      <c r="M112" s="21"/>
      <c r="N112" s="21"/>
      <c r="O112" s="21"/>
      <c r="P112" s="21"/>
      <c r="Q112" s="21"/>
      <c r="R112" s="21"/>
      <c r="S112" s="21"/>
      <c r="T112" s="20"/>
      <c r="U112" s="21"/>
      <c r="V112" s="4"/>
      <c r="W112" s="4"/>
      <c r="X112" s="4"/>
      <c r="Y112" s="20"/>
      <c r="Z112" s="20"/>
      <c r="AA112" s="4"/>
      <c r="AB112" s="20"/>
      <c r="AC112" s="21"/>
      <c r="AD112" s="21"/>
      <c r="AE112" s="21"/>
    </row>
    <row r="113" spans="1:32" s="10" customFormat="1" ht="14.25" customHeight="1" x14ac:dyDescent="0.3">
      <c r="A113" s="51"/>
      <c r="B113" s="21"/>
      <c r="C113" s="4"/>
      <c r="D113" s="4"/>
      <c r="E113" s="4"/>
      <c r="F113" s="4"/>
      <c r="G113" s="4"/>
      <c r="H113" s="4"/>
      <c r="I113" s="4"/>
      <c r="J113" s="21"/>
      <c r="K113" s="21"/>
      <c r="L113" s="21"/>
      <c r="M113" s="21"/>
      <c r="N113" s="21"/>
      <c r="O113" s="21"/>
      <c r="P113" s="21"/>
      <c r="Q113" s="21"/>
      <c r="R113" s="21"/>
      <c r="S113" s="21"/>
      <c r="T113" s="20"/>
      <c r="U113" s="21"/>
      <c r="V113" s="4"/>
      <c r="W113" s="4"/>
      <c r="X113" s="4"/>
      <c r="Y113" s="20"/>
      <c r="Z113" s="20"/>
      <c r="AA113" s="4"/>
      <c r="AB113" s="20"/>
      <c r="AC113" s="21"/>
      <c r="AD113" s="21"/>
      <c r="AE113" s="21"/>
    </row>
    <row r="114" spans="1:32" s="10" customFormat="1" ht="14.25" customHeight="1" x14ac:dyDescent="0.3">
      <c r="A114" s="51"/>
      <c r="B114" s="21"/>
      <c r="C114" s="4"/>
      <c r="D114" s="4"/>
      <c r="E114" s="4"/>
      <c r="F114" s="4"/>
      <c r="G114" s="4"/>
      <c r="H114" s="4"/>
      <c r="I114" s="4"/>
      <c r="J114" s="21"/>
      <c r="K114" s="21"/>
      <c r="L114" s="21"/>
      <c r="M114" s="21"/>
      <c r="N114" s="21"/>
      <c r="O114" s="21"/>
      <c r="P114" s="21"/>
      <c r="Q114" s="21"/>
      <c r="R114" s="21"/>
      <c r="S114" s="21"/>
      <c r="T114" s="20"/>
      <c r="U114" s="21"/>
      <c r="V114" s="4"/>
      <c r="W114" s="4"/>
      <c r="X114" s="4"/>
      <c r="Y114" s="20"/>
      <c r="Z114" s="20"/>
      <c r="AA114" s="4"/>
      <c r="AB114" s="20"/>
      <c r="AC114" s="21"/>
      <c r="AD114" s="21"/>
      <c r="AE114" s="21"/>
    </row>
    <row r="115" spans="1:32" s="10" customFormat="1" ht="14.25" customHeight="1" x14ac:dyDescent="0.3">
      <c r="A115" s="51"/>
      <c r="B115" s="21"/>
      <c r="C115" s="4"/>
      <c r="D115" s="4"/>
      <c r="E115" s="4"/>
      <c r="F115" s="4"/>
      <c r="G115" s="4"/>
      <c r="H115" s="4"/>
      <c r="I115" s="4"/>
      <c r="J115" s="21"/>
      <c r="K115" s="21"/>
      <c r="L115" s="21"/>
      <c r="M115" s="21"/>
      <c r="N115" s="21"/>
      <c r="O115" s="21"/>
      <c r="P115" s="21"/>
      <c r="Q115" s="21"/>
      <c r="R115" s="21"/>
      <c r="S115" s="21"/>
      <c r="T115" s="20"/>
      <c r="U115" s="21"/>
      <c r="V115" s="4"/>
      <c r="W115" s="4"/>
      <c r="X115" s="4"/>
      <c r="Y115" s="20"/>
      <c r="Z115" s="20"/>
      <c r="AA115" s="4"/>
      <c r="AB115" s="20"/>
      <c r="AC115" s="21"/>
      <c r="AD115" s="21"/>
      <c r="AE115" s="21"/>
    </row>
    <row r="116" spans="1:32" s="10" customFormat="1" ht="14.25" customHeight="1" x14ac:dyDescent="0.3">
      <c r="A116" s="51"/>
      <c r="B116" s="21"/>
      <c r="C116" s="4"/>
      <c r="D116" s="4"/>
      <c r="E116" s="4"/>
      <c r="F116" s="4"/>
      <c r="G116" s="4"/>
      <c r="H116" s="4"/>
      <c r="I116" s="4"/>
      <c r="J116" s="21"/>
      <c r="K116" s="21"/>
      <c r="L116" s="21"/>
      <c r="M116" s="21"/>
      <c r="N116" s="21"/>
      <c r="O116" s="21"/>
      <c r="P116" s="21"/>
      <c r="Q116" s="21"/>
      <c r="R116" s="21"/>
      <c r="S116" s="21"/>
      <c r="T116" s="20"/>
      <c r="U116" s="21"/>
      <c r="V116" s="4"/>
      <c r="W116" s="4"/>
      <c r="X116" s="4"/>
      <c r="Y116" s="20"/>
      <c r="Z116" s="20"/>
      <c r="AA116" s="4"/>
      <c r="AB116" s="20"/>
      <c r="AC116" s="21"/>
      <c r="AD116" s="21"/>
      <c r="AE116" s="21"/>
    </row>
    <row r="117" spans="1:32" s="10" customFormat="1" ht="14.25" customHeight="1" x14ac:dyDescent="0.3">
      <c r="A117" s="51"/>
      <c r="B117" s="21"/>
      <c r="C117" s="4"/>
      <c r="D117" s="4"/>
      <c r="E117" s="4"/>
      <c r="F117" s="4"/>
      <c r="G117" s="4"/>
      <c r="H117" s="4"/>
      <c r="I117" s="4"/>
      <c r="J117" s="21"/>
      <c r="K117" s="21"/>
      <c r="L117" s="21"/>
      <c r="M117" s="21"/>
      <c r="N117" s="21"/>
      <c r="O117" s="21"/>
      <c r="P117" s="21"/>
      <c r="Q117" s="21"/>
      <c r="R117" s="21"/>
      <c r="S117" s="21"/>
      <c r="T117" s="20"/>
      <c r="U117" s="21"/>
      <c r="V117" s="4"/>
      <c r="W117" s="4"/>
      <c r="X117" s="4"/>
      <c r="Y117" s="20"/>
      <c r="Z117" s="20"/>
      <c r="AA117" s="4"/>
      <c r="AB117" s="20"/>
      <c r="AC117" s="21"/>
      <c r="AD117" s="21"/>
      <c r="AE117" s="21"/>
    </row>
    <row r="118" spans="1:32" s="10" customFormat="1" ht="14.25" customHeight="1" x14ac:dyDescent="0.3">
      <c r="A118" s="51"/>
      <c r="B118" s="21"/>
      <c r="C118" s="4"/>
      <c r="D118" s="4"/>
      <c r="E118" s="4"/>
      <c r="F118" s="4"/>
      <c r="G118" s="4"/>
      <c r="H118" s="4"/>
      <c r="I118" s="4"/>
      <c r="J118" s="21"/>
      <c r="K118" s="21"/>
      <c r="L118" s="21"/>
      <c r="M118" s="21"/>
      <c r="N118" s="21"/>
      <c r="O118" s="21"/>
      <c r="P118" s="21"/>
      <c r="Q118" s="21"/>
      <c r="R118" s="21"/>
      <c r="S118" s="21"/>
      <c r="T118" s="20"/>
      <c r="U118" s="21"/>
      <c r="V118" s="4"/>
      <c r="W118" s="4"/>
      <c r="X118" s="4"/>
      <c r="Y118" s="20"/>
      <c r="Z118" s="20"/>
      <c r="AA118" s="4"/>
      <c r="AB118" s="20"/>
      <c r="AC118" s="21"/>
      <c r="AD118" s="21"/>
      <c r="AE118" s="21"/>
    </row>
    <row r="119" spans="1:32" s="10" customFormat="1" ht="14.25" customHeight="1" x14ac:dyDescent="0.3">
      <c r="A119" s="51"/>
      <c r="B119" s="21"/>
      <c r="C119" s="4"/>
      <c r="D119" s="4"/>
      <c r="E119" s="4"/>
      <c r="F119" s="4"/>
      <c r="G119" s="4"/>
      <c r="H119" s="4"/>
      <c r="I119" s="4"/>
      <c r="J119" s="21"/>
      <c r="K119" s="21"/>
      <c r="L119" s="21"/>
      <c r="M119" s="21"/>
      <c r="N119" s="21"/>
      <c r="O119" s="21"/>
      <c r="P119" s="21"/>
      <c r="Q119" s="21"/>
      <c r="R119" s="21"/>
      <c r="S119" s="21"/>
      <c r="T119" s="20"/>
      <c r="U119" s="21"/>
      <c r="V119" s="4"/>
      <c r="W119" s="4"/>
      <c r="X119" s="4"/>
      <c r="Y119" s="20"/>
      <c r="Z119" s="20"/>
      <c r="AA119" s="4"/>
      <c r="AB119" s="20"/>
      <c r="AC119" s="21"/>
      <c r="AD119" s="21"/>
      <c r="AE119" s="21"/>
    </row>
    <row r="120" spans="1:32" s="10" customFormat="1" ht="14.25" customHeight="1" x14ac:dyDescent="0.3">
      <c r="A120" s="51"/>
      <c r="B120" s="21"/>
      <c r="C120" s="4"/>
      <c r="D120" s="4"/>
      <c r="E120" s="4"/>
      <c r="F120" s="4"/>
      <c r="G120" s="4"/>
      <c r="H120" s="4"/>
      <c r="I120" s="4"/>
      <c r="J120" s="21"/>
      <c r="K120" s="21"/>
      <c r="L120" s="21"/>
      <c r="M120" s="21"/>
      <c r="N120" s="21"/>
      <c r="O120" s="21"/>
      <c r="P120" s="21"/>
      <c r="Q120" s="21"/>
      <c r="R120" s="21"/>
      <c r="S120" s="21"/>
      <c r="T120" s="20"/>
      <c r="U120" s="21"/>
      <c r="V120" s="4"/>
      <c r="W120" s="4"/>
      <c r="X120" s="4"/>
      <c r="Y120" s="20"/>
      <c r="Z120" s="20"/>
      <c r="AA120" s="4"/>
      <c r="AB120" s="20"/>
      <c r="AC120" s="21"/>
      <c r="AD120" s="21"/>
      <c r="AE120" s="21"/>
    </row>
    <row r="121" spans="1:32" s="10" customFormat="1" ht="14.25" customHeight="1" x14ac:dyDescent="0.3">
      <c r="A121" s="51"/>
      <c r="B121" s="21"/>
      <c r="C121" s="4"/>
      <c r="D121" s="4"/>
      <c r="E121" s="4"/>
      <c r="F121" s="4"/>
      <c r="G121" s="4"/>
      <c r="H121" s="4"/>
      <c r="I121" s="4"/>
      <c r="J121" s="21"/>
      <c r="K121" s="21"/>
      <c r="L121" s="21"/>
      <c r="M121" s="21"/>
      <c r="N121" s="21"/>
      <c r="O121" s="21"/>
      <c r="P121" s="21"/>
      <c r="Q121" s="21"/>
      <c r="R121" s="21"/>
      <c r="S121" s="21"/>
      <c r="T121" s="20"/>
      <c r="U121" s="21"/>
      <c r="V121" s="4"/>
      <c r="W121" s="4"/>
      <c r="X121" s="4"/>
      <c r="Y121" s="20"/>
      <c r="Z121" s="20"/>
      <c r="AA121" s="4"/>
      <c r="AB121" s="20"/>
      <c r="AC121" s="21"/>
      <c r="AD121" s="21"/>
      <c r="AE121" s="21"/>
    </row>
    <row r="122" spans="1:32" s="10" customFormat="1" ht="14.25" customHeight="1" x14ac:dyDescent="0.3">
      <c r="A122" s="51"/>
      <c r="B122" s="21"/>
      <c r="C122" s="4"/>
      <c r="D122" s="4"/>
      <c r="E122" s="4"/>
      <c r="F122" s="4"/>
      <c r="G122" s="4"/>
      <c r="H122" s="4"/>
      <c r="I122" s="4"/>
      <c r="J122" s="21"/>
      <c r="K122" s="21"/>
      <c r="L122" s="21"/>
      <c r="M122" s="21"/>
      <c r="N122" s="21"/>
      <c r="O122" s="21"/>
      <c r="P122" s="21"/>
      <c r="Q122" s="21"/>
      <c r="R122" s="21"/>
      <c r="S122" s="21"/>
      <c r="T122" s="20"/>
      <c r="U122" s="21"/>
      <c r="V122" s="4"/>
      <c r="W122" s="4"/>
      <c r="X122" s="4"/>
      <c r="Y122" s="20"/>
      <c r="Z122" s="20"/>
      <c r="AA122" s="4"/>
      <c r="AB122" s="20"/>
      <c r="AC122" s="21"/>
      <c r="AD122" s="21"/>
      <c r="AE122" s="21"/>
    </row>
    <row r="123" spans="1:32" s="10" customFormat="1" ht="14.25" customHeight="1" x14ac:dyDescent="0.3">
      <c r="A123" s="51"/>
      <c r="B123" s="21"/>
      <c r="C123" s="4"/>
      <c r="D123" s="4"/>
      <c r="E123" s="4"/>
      <c r="F123" s="4"/>
      <c r="G123" s="4"/>
      <c r="H123" s="4"/>
      <c r="I123" s="4"/>
      <c r="J123" s="21"/>
      <c r="K123" s="21"/>
      <c r="L123" s="21"/>
      <c r="M123" s="21"/>
      <c r="N123" s="21"/>
      <c r="O123" s="21"/>
      <c r="P123" s="21"/>
      <c r="Q123" s="21"/>
      <c r="R123" s="21"/>
      <c r="S123" s="21"/>
      <c r="T123" s="20"/>
      <c r="U123" s="21"/>
      <c r="V123" s="4"/>
      <c r="W123" s="4"/>
      <c r="X123" s="4"/>
      <c r="Y123" s="20"/>
      <c r="Z123" s="20"/>
      <c r="AA123" s="4"/>
      <c r="AB123" s="20"/>
      <c r="AC123" s="21"/>
      <c r="AD123" s="21"/>
      <c r="AE123" s="21"/>
    </row>
    <row r="124" spans="1:32" s="10" customFormat="1" ht="14.25" customHeight="1" x14ac:dyDescent="0.3">
      <c r="A124" s="51"/>
      <c r="B124" s="21"/>
      <c r="C124" s="4"/>
      <c r="D124" s="4"/>
      <c r="E124" s="4"/>
      <c r="F124" s="4"/>
      <c r="G124" s="4"/>
      <c r="H124" s="4"/>
      <c r="I124" s="4"/>
      <c r="J124" s="21"/>
      <c r="K124" s="21"/>
      <c r="L124" s="21"/>
      <c r="M124" s="21"/>
      <c r="N124" s="21"/>
      <c r="O124" s="21"/>
      <c r="P124" s="21"/>
      <c r="Q124" s="21"/>
      <c r="R124" s="21"/>
      <c r="S124" s="21"/>
      <c r="T124" s="20"/>
      <c r="U124" s="21"/>
      <c r="V124" s="4"/>
      <c r="W124" s="4"/>
      <c r="X124" s="4"/>
      <c r="Y124" s="20"/>
      <c r="Z124" s="20"/>
      <c r="AA124" s="4"/>
      <c r="AB124" s="20"/>
      <c r="AC124" s="21"/>
      <c r="AD124" s="21"/>
      <c r="AE124" s="21"/>
    </row>
    <row r="125" spans="1:32" s="14" customFormat="1" ht="14.25" customHeight="1" x14ac:dyDescent="0.3">
      <c r="A125" s="51"/>
      <c r="B125" s="21"/>
      <c r="C125" s="4"/>
      <c r="D125" s="4"/>
      <c r="E125" s="4"/>
      <c r="F125" s="4"/>
      <c r="G125" s="4"/>
      <c r="H125" s="4"/>
      <c r="I125" s="4"/>
      <c r="J125" s="21"/>
      <c r="K125" s="21"/>
      <c r="L125" s="21"/>
      <c r="M125" s="21"/>
      <c r="N125" s="21"/>
      <c r="O125" s="21"/>
      <c r="P125" s="21"/>
      <c r="Q125" s="21"/>
      <c r="R125" s="21"/>
      <c r="S125" s="21"/>
      <c r="T125" s="20"/>
      <c r="U125" s="21"/>
      <c r="V125" s="4"/>
      <c r="W125" s="4"/>
      <c r="X125" s="4"/>
      <c r="Y125" s="20"/>
      <c r="Z125" s="20"/>
      <c r="AA125" s="4"/>
      <c r="AB125" s="20"/>
      <c r="AC125" s="21"/>
      <c r="AD125" s="21"/>
      <c r="AE125" s="21"/>
      <c r="AF125" s="10"/>
    </row>
    <row r="126" spans="1:32" s="10" customFormat="1" ht="14.25" customHeight="1" x14ac:dyDescent="0.3">
      <c r="A126" s="51"/>
      <c r="B126" s="21"/>
      <c r="C126" s="4"/>
      <c r="D126" s="4"/>
      <c r="E126" s="4"/>
      <c r="F126" s="4"/>
      <c r="G126" s="4"/>
      <c r="H126" s="4"/>
      <c r="I126" s="4"/>
      <c r="J126" s="21"/>
      <c r="K126" s="21"/>
      <c r="L126" s="21"/>
      <c r="M126" s="21"/>
      <c r="N126" s="21"/>
      <c r="O126" s="21"/>
      <c r="P126" s="21"/>
      <c r="Q126" s="21"/>
      <c r="R126" s="21"/>
      <c r="S126" s="21"/>
      <c r="T126" s="20"/>
      <c r="U126" s="21"/>
      <c r="V126" s="4"/>
      <c r="W126" s="4"/>
      <c r="X126" s="4"/>
      <c r="Y126" s="20"/>
      <c r="Z126" s="20"/>
      <c r="AA126" s="4"/>
      <c r="AB126" s="20"/>
      <c r="AC126" s="21"/>
      <c r="AD126" s="21"/>
      <c r="AE126" s="21"/>
    </row>
    <row r="127" spans="1:32" s="10" customFormat="1" ht="14.25" customHeight="1" x14ac:dyDescent="0.3">
      <c r="A127" s="51"/>
      <c r="B127" s="21"/>
      <c r="C127" s="4"/>
      <c r="D127" s="4"/>
      <c r="E127" s="4"/>
      <c r="F127" s="4"/>
      <c r="G127" s="4"/>
      <c r="H127" s="4"/>
      <c r="I127" s="4"/>
      <c r="J127" s="21"/>
      <c r="K127" s="21"/>
      <c r="L127" s="21"/>
      <c r="M127" s="21"/>
      <c r="N127" s="21"/>
      <c r="O127" s="21"/>
      <c r="P127" s="21"/>
      <c r="Q127" s="21"/>
      <c r="R127" s="21"/>
      <c r="S127" s="21"/>
      <c r="T127" s="20"/>
      <c r="U127" s="21"/>
      <c r="V127" s="4"/>
      <c r="W127" s="4"/>
      <c r="X127" s="4"/>
      <c r="Y127" s="20"/>
      <c r="Z127" s="20"/>
      <c r="AA127" s="4"/>
      <c r="AB127" s="20"/>
      <c r="AC127" s="21"/>
      <c r="AD127" s="21"/>
      <c r="AE127" s="21"/>
    </row>
    <row r="128" spans="1:32" s="10" customFormat="1" ht="14.25" customHeight="1" x14ac:dyDescent="0.3">
      <c r="A128" s="51"/>
      <c r="B128" s="21"/>
      <c r="C128" s="4"/>
      <c r="D128" s="4"/>
      <c r="E128" s="4"/>
      <c r="F128" s="4"/>
      <c r="G128" s="4"/>
      <c r="H128" s="4"/>
      <c r="I128" s="4"/>
      <c r="J128" s="21"/>
      <c r="K128" s="21"/>
      <c r="L128" s="21"/>
      <c r="M128" s="21"/>
      <c r="N128" s="21"/>
      <c r="O128" s="21"/>
      <c r="P128" s="21"/>
      <c r="Q128" s="21"/>
      <c r="R128" s="21"/>
      <c r="S128" s="21"/>
      <c r="T128" s="20"/>
      <c r="U128" s="21"/>
      <c r="V128" s="4"/>
      <c r="W128" s="4"/>
      <c r="X128" s="4"/>
      <c r="Y128" s="20"/>
      <c r="Z128" s="20"/>
      <c r="AA128" s="4"/>
      <c r="AB128" s="20"/>
      <c r="AC128" s="21"/>
      <c r="AD128" s="21"/>
      <c r="AE128" s="21"/>
    </row>
    <row r="129" spans="1:32" s="10" customFormat="1" ht="14.25" customHeight="1" x14ac:dyDescent="0.3">
      <c r="A129" s="51"/>
      <c r="B129" s="21"/>
      <c r="C129" s="4"/>
      <c r="D129" s="4"/>
      <c r="E129" s="4"/>
      <c r="F129" s="4"/>
      <c r="G129" s="4"/>
      <c r="H129" s="4"/>
      <c r="I129" s="4"/>
      <c r="J129" s="21"/>
      <c r="K129" s="21"/>
      <c r="L129" s="21"/>
      <c r="M129" s="21"/>
      <c r="N129" s="21"/>
      <c r="O129" s="21"/>
      <c r="P129" s="21"/>
      <c r="Q129" s="21"/>
      <c r="R129" s="21"/>
      <c r="S129" s="21"/>
      <c r="T129" s="20"/>
      <c r="U129" s="21"/>
      <c r="V129" s="4"/>
      <c r="W129" s="4"/>
      <c r="X129" s="4"/>
      <c r="Y129" s="20"/>
      <c r="Z129" s="20"/>
      <c r="AA129" s="4"/>
      <c r="AB129" s="20"/>
      <c r="AC129" s="21"/>
      <c r="AD129" s="21"/>
      <c r="AE129" s="21"/>
      <c r="AF129" s="14"/>
    </row>
    <row r="130" spans="1:32" s="10" customFormat="1" ht="14.25" customHeight="1" x14ac:dyDescent="0.3">
      <c r="A130" s="51"/>
      <c r="B130" s="21"/>
      <c r="C130" s="4"/>
      <c r="D130" s="4"/>
      <c r="E130" s="4"/>
      <c r="F130" s="4"/>
      <c r="G130" s="4"/>
      <c r="H130" s="4"/>
      <c r="I130" s="4"/>
      <c r="J130" s="21"/>
      <c r="K130" s="21"/>
      <c r="L130" s="21"/>
      <c r="M130" s="21"/>
      <c r="N130" s="21"/>
      <c r="O130" s="21"/>
      <c r="P130" s="21"/>
      <c r="Q130" s="21"/>
      <c r="R130" s="21"/>
      <c r="S130" s="21"/>
      <c r="T130" s="20"/>
      <c r="U130" s="21"/>
      <c r="V130" s="4"/>
      <c r="W130" s="4"/>
      <c r="X130" s="4"/>
      <c r="Y130" s="20"/>
      <c r="Z130" s="20"/>
      <c r="AA130" s="4"/>
      <c r="AB130" s="20"/>
      <c r="AC130" s="21"/>
      <c r="AD130" s="21"/>
      <c r="AE130" s="21"/>
    </row>
    <row r="131" spans="1:32" s="10" customFormat="1" ht="14.25" customHeight="1" x14ac:dyDescent="0.3">
      <c r="A131" s="51"/>
      <c r="B131" s="21"/>
      <c r="C131" s="4"/>
      <c r="D131" s="4"/>
      <c r="E131" s="4"/>
      <c r="F131" s="4"/>
      <c r="G131" s="4"/>
      <c r="H131" s="4"/>
      <c r="I131" s="4"/>
      <c r="J131" s="21"/>
      <c r="K131" s="21"/>
      <c r="L131" s="21"/>
      <c r="M131" s="21"/>
      <c r="N131" s="21"/>
      <c r="O131" s="21"/>
      <c r="P131" s="21"/>
      <c r="Q131" s="21"/>
      <c r="R131" s="21"/>
      <c r="S131" s="21"/>
      <c r="T131" s="20"/>
      <c r="U131" s="21"/>
      <c r="V131" s="4"/>
      <c r="W131" s="4"/>
      <c r="X131" s="4"/>
      <c r="Y131" s="20"/>
      <c r="Z131" s="20"/>
      <c r="AA131" s="4"/>
      <c r="AB131" s="20"/>
      <c r="AC131" s="21"/>
      <c r="AD131" s="21"/>
      <c r="AE131" s="21"/>
    </row>
    <row r="132" spans="1:32" s="10" customFormat="1" ht="14.25" customHeight="1" x14ac:dyDescent="0.3">
      <c r="A132" s="51"/>
      <c r="B132" s="21"/>
      <c r="C132" s="4"/>
      <c r="D132" s="4"/>
      <c r="E132" s="4"/>
      <c r="F132" s="4"/>
      <c r="G132" s="4"/>
      <c r="H132" s="4"/>
      <c r="I132" s="4"/>
      <c r="J132" s="21"/>
      <c r="K132" s="21"/>
      <c r="L132" s="21"/>
      <c r="M132" s="21"/>
      <c r="N132" s="21"/>
      <c r="O132" s="21"/>
      <c r="P132" s="21"/>
      <c r="Q132" s="21"/>
      <c r="R132" s="21"/>
      <c r="S132" s="21"/>
      <c r="T132" s="20"/>
      <c r="U132" s="21"/>
      <c r="V132" s="4"/>
      <c r="W132" s="4"/>
      <c r="X132" s="4"/>
      <c r="Y132" s="20"/>
      <c r="Z132" s="20"/>
      <c r="AA132" s="4"/>
      <c r="AB132" s="20"/>
      <c r="AC132" s="21"/>
      <c r="AD132" s="21"/>
      <c r="AE132" s="21"/>
    </row>
    <row r="133" spans="1:32" s="10" customFormat="1" ht="13.95" customHeight="1" x14ac:dyDescent="0.3">
      <c r="A133" s="51"/>
      <c r="B133" s="21"/>
      <c r="C133" s="4"/>
      <c r="D133" s="4"/>
      <c r="E133" s="4"/>
      <c r="F133" s="4"/>
      <c r="G133" s="4"/>
      <c r="H133" s="4"/>
      <c r="I133" s="4"/>
      <c r="J133" s="21"/>
      <c r="K133" s="21"/>
      <c r="L133" s="21"/>
      <c r="M133" s="21"/>
      <c r="N133" s="21"/>
      <c r="O133" s="21"/>
      <c r="P133" s="21"/>
      <c r="Q133" s="21"/>
      <c r="R133" s="21"/>
      <c r="S133" s="21"/>
      <c r="T133" s="20"/>
      <c r="U133" s="21"/>
      <c r="V133" s="4"/>
      <c r="W133" s="4"/>
      <c r="X133" s="4"/>
      <c r="Y133" s="20"/>
      <c r="Z133" s="20"/>
      <c r="AA133" s="4"/>
      <c r="AB133" s="20"/>
      <c r="AC133" s="21"/>
      <c r="AD133" s="21"/>
      <c r="AE133" s="21"/>
    </row>
    <row r="134" spans="1:32" s="10" customFormat="1" ht="14.25" customHeight="1" x14ac:dyDescent="0.3">
      <c r="A134" s="51"/>
      <c r="B134" s="21"/>
      <c r="C134" s="4"/>
      <c r="D134" s="4"/>
      <c r="E134" s="4"/>
      <c r="F134" s="4"/>
      <c r="G134" s="4"/>
      <c r="H134" s="4"/>
      <c r="I134" s="4"/>
      <c r="J134" s="21"/>
      <c r="K134" s="21"/>
      <c r="L134" s="21"/>
      <c r="M134" s="21"/>
      <c r="N134" s="21"/>
      <c r="O134" s="21"/>
      <c r="P134" s="21"/>
      <c r="Q134" s="21"/>
      <c r="R134" s="21"/>
      <c r="S134" s="21"/>
      <c r="T134" s="20"/>
      <c r="U134" s="21"/>
      <c r="V134" s="4"/>
      <c r="W134" s="4"/>
      <c r="X134" s="4"/>
      <c r="Y134" s="20"/>
      <c r="Z134" s="20"/>
      <c r="AA134" s="4"/>
      <c r="AB134" s="20"/>
      <c r="AC134" s="21"/>
      <c r="AD134" s="21"/>
      <c r="AE134" s="21"/>
    </row>
    <row r="135" spans="1:32" s="10" customFormat="1" ht="14.25" customHeight="1" x14ac:dyDescent="0.3">
      <c r="A135" s="51"/>
      <c r="B135" s="21"/>
      <c r="C135" s="4"/>
      <c r="D135" s="4"/>
      <c r="E135" s="4"/>
      <c r="F135" s="4"/>
      <c r="G135" s="4"/>
      <c r="H135" s="4"/>
      <c r="I135" s="4"/>
      <c r="J135" s="21"/>
      <c r="K135" s="21"/>
      <c r="L135" s="21"/>
      <c r="M135" s="21"/>
      <c r="N135" s="21"/>
      <c r="O135" s="21"/>
      <c r="P135" s="21"/>
      <c r="Q135" s="21"/>
      <c r="R135" s="21"/>
      <c r="S135" s="21"/>
      <c r="T135" s="20"/>
      <c r="U135" s="21"/>
      <c r="V135" s="4"/>
      <c r="W135" s="4"/>
      <c r="X135" s="4"/>
      <c r="Y135" s="20"/>
      <c r="Z135" s="20"/>
      <c r="AA135" s="4"/>
      <c r="AB135" s="20"/>
      <c r="AC135" s="21"/>
      <c r="AD135" s="21"/>
      <c r="AE135" s="21"/>
    </row>
    <row r="136" spans="1:32" s="10" customFormat="1" ht="14.25" customHeight="1" x14ac:dyDescent="0.3">
      <c r="A136" s="51"/>
      <c r="B136" s="21"/>
      <c r="C136" s="4"/>
      <c r="D136" s="4"/>
      <c r="E136" s="4"/>
      <c r="F136" s="4"/>
      <c r="G136" s="4"/>
      <c r="H136" s="4"/>
      <c r="I136" s="4"/>
      <c r="J136" s="21"/>
      <c r="K136" s="21"/>
      <c r="L136" s="21"/>
      <c r="M136" s="21"/>
      <c r="N136" s="21"/>
      <c r="O136" s="21"/>
      <c r="P136" s="21"/>
      <c r="Q136" s="21"/>
      <c r="R136" s="21"/>
      <c r="S136" s="21"/>
      <c r="T136" s="20"/>
      <c r="U136" s="21"/>
      <c r="V136" s="4"/>
      <c r="W136" s="4"/>
      <c r="X136" s="4"/>
      <c r="Y136" s="20"/>
      <c r="Z136" s="20"/>
      <c r="AA136" s="4"/>
      <c r="AB136" s="20"/>
      <c r="AC136" s="21"/>
      <c r="AD136" s="21"/>
      <c r="AE136" s="21"/>
    </row>
    <row r="137" spans="1:32" s="10" customFormat="1" ht="14.25" customHeight="1" x14ac:dyDescent="0.3">
      <c r="A137" s="51"/>
      <c r="B137" s="21"/>
      <c r="C137" s="4"/>
      <c r="D137" s="4"/>
      <c r="E137" s="4"/>
      <c r="F137" s="4"/>
      <c r="G137" s="4"/>
      <c r="H137" s="4"/>
      <c r="I137" s="4"/>
      <c r="J137" s="21"/>
      <c r="K137" s="21"/>
      <c r="L137" s="21"/>
      <c r="M137" s="21"/>
      <c r="N137" s="21"/>
      <c r="O137" s="21"/>
      <c r="P137" s="21"/>
      <c r="Q137" s="21"/>
      <c r="R137" s="21"/>
      <c r="S137" s="21"/>
      <c r="T137" s="20"/>
      <c r="U137" s="21"/>
      <c r="V137" s="4"/>
      <c r="W137" s="4"/>
      <c r="X137" s="4"/>
      <c r="Y137" s="20"/>
      <c r="Z137" s="20"/>
      <c r="AA137" s="4"/>
      <c r="AB137" s="20"/>
      <c r="AC137" s="21"/>
      <c r="AD137" s="21"/>
      <c r="AE137" s="21"/>
    </row>
    <row r="138" spans="1:32" s="10" customFormat="1" ht="14.25" customHeight="1" x14ac:dyDescent="0.3">
      <c r="A138" s="51"/>
      <c r="B138" s="21"/>
      <c r="C138" s="4"/>
      <c r="D138" s="4"/>
      <c r="E138" s="4"/>
      <c r="F138" s="4"/>
      <c r="G138" s="4"/>
      <c r="H138" s="4"/>
      <c r="I138" s="4"/>
      <c r="J138" s="21"/>
      <c r="K138" s="21"/>
      <c r="L138" s="21"/>
      <c r="M138" s="21"/>
      <c r="N138" s="21"/>
      <c r="O138" s="21"/>
      <c r="P138" s="21"/>
      <c r="Q138" s="21"/>
      <c r="R138" s="21"/>
      <c r="S138" s="21"/>
      <c r="T138" s="20"/>
      <c r="U138" s="21"/>
      <c r="V138" s="4"/>
      <c r="W138" s="4"/>
      <c r="X138" s="4"/>
      <c r="Y138" s="20"/>
      <c r="Z138" s="20"/>
      <c r="AA138" s="4"/>
      <c r="AB138" s="20"/>
      <c r="AC138" s="21"/>
      <c r="AD138" s="21"/>
      <c r="AE138" s="21"/>
    </row>
    <row r="139" spans="1:32" s="10" customFormat="1" ht="14.25" customHeight="1" x14ac:dyDescent="0.3">
      <c r="A139" s="51"/>
      <c r="B139" s="21"/>
      <c r="C139" s="4"/>
      <c r="D139" s="4"/>
      <c r="E139" s="4"/>
      <c r="F139" s="4"/>
      <c r="G139" s="4"/>
      <c r="H139" s="4"/>
      <c r="I139" s="4"/>
      <c r="J139" s="21"/>
      <c r="K139" s="21"/>
      <c r="L139" s="21"/>
      <c r="M139" s="21"/>
      <c r="N139" s="21"/>
      <c r="O139" s="21"/>
      <c r="P139" s="21"/>
      <c r="Q139" s="21"/>
      <c r="R139" s="21"/>
      <c r="S139" s="21"/>
      <c r="T139" s="20"/>
      <c r="U139" s="21"/>
      <c r="V139" s="4"/>
      <c r="W139" s="4"/>
      <c r="X139" s="4"/>
      <c r="Y139" s="20"/>
      <c r="Z139" s="20"/>
      <c r="AA139" s="4"/>
      <c r="AB139" s="20"/>
      <c r="AC139" s="21"/>
      <c r="AD139" s="21"/>
      <c r="AE139" s="21"/>
    </row>
    <row r="140" spans="1:32" s="10" customFormat="1" ht="14.25" customHeight="1" x14ac:dyDescent="0.3">
      <c r="A140" s="51"/>
      <c r="B140" s="21"/>
      <c r="C140" s="4"/>
      <c r="D140" s="4"/>
      <c r="E140" s="4"/>
      <c r="F140" s="4"/>
      <c r="G140" s="4"/>
      <c r="H140" s="4"/>
      <c r="I140" s="4"/>
      <c r="J140" s="21"/>
      <c r="K140" s="21"/>
      <c r="L140" s="21"/>
      <c r="M140" s="21"/>
      <c r="N140" s="21"/>
      <c r="O140" s="21"/>
      <c r="P140" s="21"/>
      <c r="Q140" s="21"/>
      <c r="R140" s="21"/>
      <c r="S140" s="21"/>
      <c r="T140" s="20"/>
      <c r="U140" s="21"/>
      <c r="V140" s="4"/>
      <c r="W140" s="4"/>
      <c r="X140" s="4"/>
      <c r="Y140" s="20"/>
      <c r="Z140" s="20"/>
      <c r="AA140" s="4"/>
      <c r="AB140" s="20"/>
      <c r="AC140" s="21"/>
      <c r="AD140" s="21"/>
      <c r="AE140" s="21"/>
    </row>
    <row r="141" spans="1:32" s="10" customFormat="1" ht="14.25" customHeight="1" x14ac:dyDescent="0.3">
      <c r="A141" s="51"/>
      <c r="B141" s="21"/>
      <c r="C141" s="4"/>
      <c r="D141" s="4"/>
      <c r="E141" s="4"/>
      <c r="F141" s="4"/>
      <c r="G141" s="4"/>
      <c r="H141" s="4"/>
      <c r="I141" s="4"/>
      <c r="J141" s="21"/>
      <c r="K141" s="21"/>
      <c r="L141" s="21"/>
      <c r="M141" s="21"/>
      <c r="N141" s="21"/>
      <c r="O141" s="21"/>
      <c r="P141" s="21"/>
      <c r="Q141" s="21"/>
      <c r="R141" s="21"/>
      <c r="S141" s="21"/>
      <c r="T141" s="20"/>
      <c r="U141" s="21"/>
      <c r="V141" s="4"/>
      <c r="W141" s="4"/>
      <c r="X141" s="4"/>
      <c r="Y141" s="20"/>
      <c r="Z141" s="20"/>
      <c r="AA141" s="4"/>
      <c r="AB141" s="20"/>
      <c r="AC141" s="21"/>
      <c r="AD141" s="21"/>
      <c r="AE141" s="21"/>
    </row>
    <row r="142" spans="1:32" s="10" customFormat="1" ht="14.25" customHeight="1" x14ac:dyDescent="0.3">
      <c r="A142" s="51"/>
      <c r="B142" s="21"/>
      <c r="C142" s="4"/>
      <c r="D142" s="4"/>
      <c r="E142" s="4"/>
      <c r="F142" s="4"/>
      <c r="G142" s="4"/>
      <c r="H142" s="4"/>
      <c r="I142" s="4"/>
      <c r="J142" s="21"/>
      <c r="K142" s="21"/>
      <c r="L142" s="21"/>
      <c r="M142" s="21"/>
      <c r="N142" s="21"/>
      <c r="O142" s="21"/>
      <c r="P142" s="21"/>
      <c r="Q142" s="21"/>
      <c r="R142" s="21"/>
      <c r="S142" s="21"/>
      <c r="T142" s="20"/>
      <c r="U142" s="21"/>
      <c r="V142" s="4"/>
      <c r="W142" s="4"/>
      <c r="X142" s="4"/>
      <c r="Y142" s="20"/>
      <c r="Z142" s="20"/>
      <c r="AA142" s="4"/>
      <c r="AB142" s="20"/>
      <c r="AC142" s="21"/>
      <c r="AD142" s="21"/>
      <c r="AE142" s="21"/>
    </row>
    <row r="143" spans="1:32" s="10" customFormat="1" ht="14.25" customHeight="1" x14ac:dyDescent="0.3">
      <c r="A143" s="51"/>
      <c r="B143" s="21"/>
      <c r="C143" s="4"/>
      <c r="D143" s="4"/>
      <c r="E143" s="4"/>
      <c r="F143" s="4"/>
      <c r="G143" s="4"/>
      <c r="H143" s="4"/>
      <c r="I143" s="4"/>
      <c r="J143" s="21"/>
      <c r="K143" s="21"/>
      <c r="L143" s="21"/>
      <c r="M143" s="21"/>
      <c r="N143" s="21"/>
      <c r="O143" s="21"/>
      <c r="P143" s="21"/>
      <c r="Q143" s="21"/>
      <c r="R143" s="21"/>
      <c r="S143" s="21"/>
      <c r="T143" s="20"/>
      <c r="U143" s="21"/>
      <c r="V143" s="4"/>
      <c r="W143" s="4"/>
      <c r="X143" s="4"/>
      <c r="Y143" s="20"/>
      <c r="Z143" s="20"/>
      <c r="AA143" s="4"/>
      <c r="AB143" s="20"/>
      <c r="AC143" s="21"/>
      <c r="AD143" s="21"/>
      <c r="AE143" s="21"/>
    </row>
    <row r="144" spans="1:32" s="10" customFormat="1" ht="14.25" customHeight="1" x14ac:dyDescent="0.3">
      <c r="A144" s="51"/>
      <c r="B144" s="21"/>
      <c r="C144" s="4"/>
      <c r="D144" s="4"/>
      <c r="E144" s="4"/>
      <c r="F144" s="4"/>
      <c r="G144" s="4"/>
      <c r="H144" s="4"/>
      <c r="I144" s="4"/>
      <c r="J144" s="21"/>
      <c r="K144" s="21"/>
      <c r="L144" s="21"/>
      <c r="M144" s="21"/>
      <c r="N144" s="21"/>
      <c r="O144" s="21"/>
      <c r="P144" s="21"/>
      <c r="Q144" s="21"/>
      <c r="R144" s="21"/>
      <c r="S144" s="21"/>
      <c r="T144" s="20"/>
      <c r="U144" s="21"/>
      <c r="V144" s="4"/>
      <c r="W144" s="4"/>
      <c r="X144" s="4"/>
      <c r="Y144" s="20"/>
      <c r="Z144" s="20"/>
      <c r="AA144" s="4"/>
      <c r="AB144" s="20"/>
      <c r="AC144" s="21"/>
      <c r="AD144" s="21"/>
      <c r="AE144" s="21"/>
    </row>
    <row r="145" spans="1:32" s="10" customFormat="1" ht="14.25" customHeight="1" x14ac:dyDescent="0.3">
      <c r="A145" s="51"/>
      <c r="B145" s="21"/>
      <c r="C145" s="4"/>
      <c r="D145" s="4"/>
      <c r="E145" s="4"/>
      <c r="F145" s="4"/>
      <c r="G145" s="4"/>
      <c r="H145" s="4"/>
      <c r="I145" s="4"/>
      <c r="J145" s="21"/>
      <c r="K145" s="21"/>
      <c r="L145" s="21"/>
      <c r="M145" s="21"/>
      <c r="N145" s="21"/>
      <c r="O145" s="21"/>
      <c r="P145" s="21"/>
      <c r="Q145" s="21"/>
      <c r="R145" s="21"/>
      <c r="S145" s="21"/>
      <c r="T145" s="20"/>
      <c r="U145" s="21"/>
      <c r="V145" s="4"/>
      <c r="W145" s="4"/>
      <c r="X145" s="4"/>
      <c r="Y145" s="20"/>
      <c r="Z145" s="20"/>
      <c r="AA145" s="4"/>
      <c r="AB145" s="20"/>
      <c r="AC145" s="21"/>
      <c r="AD145" s="21"/>
      <c r="AE145" s="21"/>
    </row>
    <row r="146" spans="1:32" s="10" customFormat="1" ht="14.25" customHeight="1" x14ac:dyDescent="0.3">
      <c r="A146" s="51"/>
      <c r="B146" s="21"/>
      <c r="C146" s="4"/>
      <c r="D146" s="4"/>
      <c r="E146" s="4"/>
      <c r="F146" s="4"/>
      <c r="G146" s="4"/>
      <c r="H146" s="4"/>
      <c r="I146" s="4"/>
      <c r="J146" s="21"/>
      <c r="K146" s="21"/>
      <c r="L146" s="21"/>
      <c r="M146" s="21"/>
      <c r="N146" s="21"/>
      <c r="O146" s="21"/>
      <c r="P146" s="21"/>
      <c r="Q146" s="21"/>
      <c r="R146" s="21"/>
      <c r="S146" s="21"/>
      <c r="T146" s="20"/>
      <c r="U146" s="21"/>
      <c r="V146" s="4"/>
      <c r="W146" s="4"/>
      <c r="X146" s="4"/>
      <c r="Y146" s="20"/>
      <c r="Z146" s="20"/>
      <c r="AA146" s="4"/>
      <c r="AB146" s="20"/>
      <c r="AC146" s="21"/>
      <c r="AD146" s="21"/>
      <c r="AE146" s="21"/>
    </row>
    <row r="147" spans="1:32" s="10" customFormat="1" ht="14.25" customHeight="1" x14ac:dyDescent="0.3">
      <c r="A147" s="51"/>
      <c r="B147" s="21"/>
      <c r="C147" s="4"/>
      <c r="D147" s="4"/>
      <c r="E147" s="4"/>
      <c r="F147" s="4"/>
      <c r="G147" s="4"/>
      <c r="H147" s="4"/>
      <c r="I147" s="4"/>
      <c r="J147" s="21"/>
      <c r="K147" s="21"/>
      <c r="L147" s="21"/>
      <c r="M147" s="21"/>
      <c r="N147" s="21"/>
      <c r="O147" s="21"/>
      <c r="P147" s="21"/>
      <c r="Q147" s="21"/>
      <c r="R147" s="21"/>
      <c r="S147" s="21"/>
      <c r="T147" s="20"/>
      <c r="U147" s="21"/>
      <c r="V147" s="4"/>
      <c r="W147" s="4"/>
      <c r="X147" s="4"/>
      <c r="Y147" s="20"/>
      <c r="Z147" s="20"/>
      <c r="AA147" s="4"/>
      <c r="AB147" s="20"/>
      <c r="AC147" s="21"/>
      <c r="AD147" s="21"/>
      <c r="AE147" s="21"/>
    </row>
    <row r="148" spans="1:32" s="10" customFormat="1" ht="14.25" customHeight="1" x14ac:dyDescent="0.3">
      <c r="A148" s="51"/>
      <c r="B148" s="21"/>
      <c r="C148" s="4"/>
      <c r="D148" s="4"/>
      <c r="E148" s="4"/>
      <c r="F148" s="4"/>
      <c r="G148" s="4"/>
      <c r="H148" s="4"/>
      <c r="I148" s="4"/>
      <c r="J148" s="21"/>
      <c r="K148" s="21"/>
      <c r="L148" s="21"/>
      <c r="M148" s="21"/>
      <c r="N148" s="21"/>
      <c r="O148" s="21"/>
      <c r="P148" s="21"/>
      <c r="Q148" s="21"/>
      <c r="R148" s="21"/>
      <c r="S148" s="21"/>
      <c r="T148" s="20"/>
      <c r="U148" s="21"/>
      <c r="V148" s="4"/>
      <c r="W148" s="4"/>
      <c r="X148" s="4"/>
      <c r="Y148" s="20"/>
      <c r="Z148" s="20"/>
      <c r="AA148" s="4"/>
      <c r="AB148" s="20"/>
      <c r="AC148" s="21"/>
      <c r="AD148" s="21"/>
      <c r="AE148" s="21"/>
    </row>
    <row r="149" spans="1:32" s="10" customFormat="1" ht="14.25" customHeight="1" x14ac:dyDescent="0.3">
      <c r="A149" s="51"/>
      <c r="B149" s="21"/>
      <c r="C149" s="4"/>
      <c r="D149" s="4"/>
      <c r="E149" s="4"/>
      <c r="F149" s="4"/>
      <c r="G149" s="4"/>
      <c r="H149" s="4"/>
      <c r="I149" s="4"/>
      <c r="J149" s="21"/>
      <c r="K149" s="21"/>
      <c r="L149" s="21"/>
      <c r="M149" s="21"/>
      <c r="N149" s="21"/>
      <c r="O149" s="21"/>
      <c r="P149" s="21"/>
      <c r="Q149" s="21"/>
      <c r="R149" s="21"/>
      <c r="S149" s="21"/>
      <c r="T149" s="20"/>
      <c r="U149" s="21"/>
      <c r="V149" s="4"/>
      <c r="W149" s="4"/>
      <c r="X149" s="4"/>
      <c r="Y149" s="20"/>
      <c r="Z149" s="20"/>
      <c r="AA149" s="4"/>
      <c r="AB149" s="20"/>
      <c r="AC149" s="21"/>
      <c r="AD149" s="21"/>
      <c r="AE149" s="21"/>
    </row>
    <row r="150" spans="1:32" s="10" customFormat="1" ht="14.25" customHeight="1" x14ac:dyDescent="0.3">
      <c r="A150" s="51"/>
      <c r="B150" s="21"/>
      <c r="C150" s="4"/>
      <c r="D150" s="4"/>
      <c r="E150" s="4"/>
      <c r="F150" s="4"/>
      <c r="G150" s="4"/>
      <c r="H150" s="4"/>
      <c r="I150" s="4"/>
      <c r="J150" s="21"/>
      <c r="K150" s="21"/>
      <c r="L150" s="21"/>
      <c r="M150" s="21"/>
      <c r="N150" s="21"/>
      <c r="O150" s="21"/>
      <c r="P150" s="21"/>
      <c r="Q150" s="21"/>
      <c r="R150" s="21"/>
      <c r="S150" s="21"/>
      <c r="T150" s="20"/>
      <c r="U150" s="21"/>
      <c r="V150" s="4"/>
      <c r="W150" s="4"/>
      <c r="X150" s="4"/>
      <c r="Y150" s="20"/>
      <c r="Z150" s="20"/>
      <c r="AA150" s="4"/>
      <c r="AB150" s="20"/>
      <c r="AC150" s="21"/>
      <c r="AD150" s="21"/>
      <c r="AE150" s="21"/>
    </row>
    <row r="151" spans="1:32" s="10" customFormat="1" ht="14.25" customHeight="1" x14ac:dyDescent="0.3">
      <c r="A151" s="51"/>
      <c r="B151" s="21"/>
      <c r="C151" s="4"/>
      <c r="D151" s="4"/>
      <c r="E151" s="4"/>
      <c r="F151" s="4"/>
      <c r="G151" s="4"/>
      <c r="H151" s="4"/>
      <c r="I151" s="4"/>
      <c r="J151" s="21"/>
      <c r="K151" s="21"/>
      <c r="L151" s="21"/>
      <c r="M151" s="21"/>
      <c r="N151" s="21"/>
      <c r="O151" s="21"/>
      <c r="P151" s="21"/>
      <c r="Q151" s="21"/>
      <c r="R151" s="21"/>
      <c r="S151" s="21"/>
      <c r="T151" s="20"/>
      <c r="U151" s="21"/>
      <c r="V151" s="4"/>
      <c r="W151" s="4"/>
      <c r="X151" s="4"/>
      <c r="Y151" s="20"/>
      <c r="Z151" s="20"/>
      <c r="AA151" s="4"/>
      <c r="AB151" s="20"/>
      <c r="AC151" s="21"/>
      <c r="AD151" s="21"/>
      <c r="AE151" s="21"/>
    </row>
    <row r="152" spans="1:32" s="10" customFormat="1" ht="14.25" customHeight="1" x14ac:dyDescent="0.3">
      <c r="A152" s="51"/>
      <c r="B152" s="21"/>
      <c r="C152" s="4"/>
      <c r="D152" s="4"/>
      <c r="E152" s="4"/>
      <c r="F152" s="4"/>
      <c r="G152" s="4"/>
      <c r="H152" s="4"/>
      <c r="I152" s="4"/>
      <c r="J152" s="21"/>
      <c r="K152" s="21"/>
      <c r="L152" s="21"/>
      <c r="M152" s="21"/>
      <c r="N152" s="21"/>
      <c r="O152" s="21"/>
      <c r="P152" s="21"/>
      <c r="Q152" s="21"/>
      <c r="R152" s="21"/>
      <c r="S152" s="21"/>
      <c r="T152" s="20"/>
      <c r="U152" s="21"/>
      <c r="V152" s="4"/>
      <c r="W152" s="4"/>
      <c r="X152" s="4"/>
      <c r="Y152" s="20"/>
      <c r="Z152" s="20"/>
      <c r="AA152" s="4"/>
      <c r="AB152" s="20"/>
      <c r="AC152" s="21"/>
      <c r="AD152" s="21"/>
      <c r="AE152" s="21"/>
    </row>
    <row r="153" spans="1:32" s="10" customFormat="1" ht="14.25" customHeight="1" x14ac:dyDescent="0.3">
      <c r="A153" s="51"/>
      <c r="B153" s="21"/>
      <c r="C153" s="4"/>
      <c r="D153" s="4"/>
      <c r="E153" s="4"/>
      <c r="F153" s="4"/>
      <c r="G153" s="4"/>
      <c r="H153" s="4"/>
      <c r="I153" s="4"/>
      <c r="J153" s="21"/>
      <c r="K153" s="21"/>
      <c r="L153" s="21"/>
      <c r="M153" s="21"/>
      <c r="N153" s="21"/>
      <c r="O153" s="21"/>
      <c r="P153" s="21"/>
      <c r="Q153" s="21"/>
      <c r="R153" s="21"/>
      <c r="S153" s="21"/>
      <c r="T153" s="20"/>
      <c r="U153" s="21"/>
      <c r="V153" s="4"/>
      <c r="W153" s="4"/>
      <c r="X153" s="4"/>
      <c r="Y153" s="20"/>
      <c r="Z153" s="20"/>
      <c r="AA153" s="4"/>
      <c r="AB153" s="20"/>
      <c r="AC153" s="21"/>
      <c r="AD153" s="21"/>
      <c r="AE153" s="21"/>
    </row>
    <row r="154" spans="1:32" s="15" customFormat="1" ht="14.25" customHeight="1" x14ac:dyDescent="0.3">
      <c r="A154" s="51"/>
      <c r="B154" s="21"/>
      <c r="C154" s="4"/>
      <c r="D154" s="4"/>
      <c r="E154" s="4"/>
      <c r="F154" s="4"/>
      <c r="G154" s="4"/>
      <c r="H154" s="4"/>
      <c r="I154" s="4"/>
      <c r="J154" s="21"/>
      <c r="K154" s="21"/>
      <c r="L154" s="21"/>
      <c r="M154" s="21"/>
      <c r="N154" s="21"/>
      <c r="O154" s="21"/>
      <c r="P154" s="21"/>
      <c r="Q154" s="21"/>
      <c r="R154" s="21"/>
      <c r="S154" s="21"/>
      <c r="T154" s="20"/>
      <c r="U154" s="21"/>
      <c r="V154" s="4"/>
      <c r="W154" s="4"/>
      <c r="X154" s="4"/>
      <c r="Y154" s="20"/>
      <c r="Z154" s="20"/>
      <c r="AA154" s="4"/>
      <c r="AB154" s="20"/>
      <c r="AC154" s="21"/>
      <c r="AD154" s="21"/>
      <c r="AE154" s="21"/>
      <c r="AF154" s="10"/>
    </row>
    <row r="155" spans="1:32" s="10" customFormat="1" ht="14.25" customHeight="1" x14ac:dyDescent="0.3">
      <c r="A155" s="51"/>
      <c r="B155" s="21"/>
      <c r="C155" s="4"/>
      <c r="D155" s="4"/>
      <c r="E155" s="4"/>
      <c r="F155" s="4"/>
      <c r="G155" s="4"/>
      <c r="H155" s="4"/>
      <c r="I155" s="4"/>
      <c r="J155" s="21"/>
      <c r="K155" s="21"/>
      <c r="L155" s="21"/>
      <c r="M155" s="21"/>
      <c r="N155" s="21"/>
      <c r="O155" s="21"/>
      <c r="P155" s="21"/>
      <c r="Q155" s="21"/>
      <c r="R155" s="21"/>
      <c r="S155" s="21"/>
      <c r="T155" s="20"/>
      <c r="U155" s="21"/>
      <c r="V155" s="4"/>
      <c r="W155" s="4"/>
      <c r="X155" s="4"/>
      <c r="Y155" s="20"/>
      <c r="Z155" s="20"/>
      <c r="AA155" s="4"/>
      <c r="AB155" s="20"/>
      <c r="AC155" s="21"/>
      <c r="AD155" s="21"/>
      <c r="AE155" s="21"/>
    </row>
    <row r="156" spans="1:32" s="10" customFormat="1" ht="14.25" customHeight="1" x14ac:dyDescent="0.3">
      <c r="A156" s="51"/>
      <c r="B156" s="21"/>
      <c r="C156" s="4"/>
      <c r="D156" s="4"/>
      <c r="E156" s="4"/>
      <c r="F156" s="4"/>
      <c r="G156" s="4"/>
      <c r="H156" s="4"/>
      <c r="I156" s="4"/>
      <c r="J156" s="21"/>
      <c r="K156" s="21"/>
      <c r="L156" s="21"/>
      <c r="M156" s="21"/>
      <c r="N156" s="21"/>
      <c r="O156" s="21"/>
      <c r="P156" s="21"/>
      <c r="Q156" s="21"/>
      <c r="R156" s="21"/>
      <c r="S156" s="21"/>
      <c r="T156" s="20"/>
      <c r="U156" s="21"/>
      <c r="V156" s="4"/>
      <c r="W156" s="4"/>
      <c r="X156" s="4"/>
      <c r="Y156" s="20"/>
      <c r="Z156" s="20"/>
      <c r="AA156" s="4"/>
      <c r="AB156" s="20"/>
      <c r="AC156" s="21"/>
      <c r="AD156" s="21"/>
      <c r="AE156" s="21"/>
    </row>
    <row r="157" spans="1:32" s="10" customFormat="1" ht="14.25" customHeight="1" x14ac:dyDescent="0.3">
      <c r="A157" s="51"/>
      <c r="B157" s="21"/>
      <c r="C157" s="4"/>
      <c r="D157" s="4"/>
      <c r="E157" s="4"/>
      <c r="F157" s="4"/>
      <c r="G157" s="4"/>
      <c r="H157" s="4"/>
      <c r="I157" s="4"/>
      <c r="J157" s="21"/>
      <c r="K157" s="21"/>
      <c r="L157" s="21"/>
      <c r="M157" s="21"/>
      <c r="N157" s="21"/>
      <c r="O157" s="21"/>
      <c r="P157" s="21"/>
      <c r="Q157" s="21"/>
      <c r="R157" s="21"/>
      <c r="S157" s="21"/>
      <c r="T157" s="20"/>
      <c r="U157" s="21"/>
      <c r="V157" s="4"/>
      <c r="W157" s="4"/>
      <c r="X157" s="4"/>
      <c r="Y157" s="20"/>
      <c r="Z157" s="20"/>
      <c r="AA157" s="4"/>
      <c r="AB157" s="20"/>
      <c r="AC157" s="21"/>
      <c r="AD157" s="21"/>
      <c r="AE157" s="21"/>
    </row>
    <row r="158" spans="1:32" s="10" customFormat="1" ht="14.25" customHeight="1" x14ac:dyDescent="0.3">
      <c r="A158" s="51"/>
      <c r="B158" s="21"/>
      <c r="C158" s="4"/>
      <c r="D158" s="4"/>
      <c r="E158" s="4"/>
      <c r="F158" s="4"/>
      <c r="G158" s="4"/>
      <c r="H158" s="4"/>
      <c r="I158" s="4"/>
      <c r="J158" s="21"/>
      <c r="K158" s="21"/>
      <c r="L158" s="21"/>
      <c r="M158" s="21"/>
      <c r="N158" s="21"/>
      <c r="O158" s="21"/>
      <c r="P158" s="21"/>
      <c r="Q158" s="21"/>
      <c r="R158" s="21"/>
      <c r="S158" s="21"/>
      <c r="T158" s="20"/>
      <c r="U158" s="21"/>
      <c r="V158" s="4"/>
      <c r="W158" s="4"/>
      <c r="X158" s="4"/>
      <c r="Y158" s="20"/>
      <c r="Z158" s="20"/>
      <c r="AA158" s="4"/>
      <c r="AB158" s="20"/>
      <c r="AC158" s="21"/>
      <c r="AD158" s="21"/>
      <c r="AE158" s="21"/>
      <c r="AF158" s="15"/>
    </row>
    <row r="159" spans="1:32" s="10" customFormat="1" ht="14.25" customHeight="1" x14ac:dyDescent="0.3">
      <c r="A159" s="51"/>
      <c r="B159" s="21"/>
      <c r="C159" s="4"/>
      <c r="D159" s="4"/>
      <c r="E159" s="4"/>
      <c r="F159" s="4"/>
      <c r="G159" s="4"/>
      <c r="H159" s="4"/>
      <c r="I159" s="4"/>
      <c r="J159" s="21"/>
      <c r="K159" s="21"/>
      <c r="L159" s="21"/>
      <c r="M159" s="21"/>
      <c r="N159" s="21"/>
      <c r="O159" s="21"/>
      <c r="P159" s="21"/>
      <c r="Q159" s="21"/>
      <c r="R159" s="21"/>
      <c r="S159" s="21"/>
      <c r="T159" s="20"/>
      <c r="U159" s="21"/>
      <c r="V159" s="4"/>
      <c r="W159" s="4"/>
      <c r="X159" s="4"/>
      <c r="Y159" s="20"/>
      <c r="Z159" s="20"/>
      <c r="AA159" s="4"/>
      <c r="AB159" s="20"/>
      <c r="AC159" s="21"/>
      <c r="AD159" s="21"/>
      <c r="AE159" s="21"/>
    </row>
    <row r="160" spans="1:32" s="10" customFormat="1" ht="14.25" customHeight="1" x14ac:dyDescent="0.3">
      <c r="A160" s="51"/>
      <c r="B160" s="21"/>
      <c r="C160" s="4"/>
      <c r="D160" s="4"/>
      <c r="E160" s="4"/>
      <c r="F160" s="4"/>
      <c r="G160" s="4"/>
      <c r="H160" s="4"/>
      <c r="I160" s="4"/>
      <c r="J160" s="21"/>
      <c r="K160" s="21"/>
      <c r="L160" s="21"/>
      <c r="M160" s="21"/>
      <c r="N160" s="21"/>
      <c r="O160" s="21"/>
      <c r="P160" s="21"/>
      <c r="Q160" s="21"/>
      <c r="R160" s="21"/>
      <c r="S160" s="21"/>
      <c r="T160" s="20"/>
      <c r="U160" s="21"/>
      <c r="V160" s="4"/>
      <c r="W160" s="4"/>
      <c r="X160" s="4"/>
      <c r="Y160" s="20"/>
      <c r="Z160" s="20"/>
      <c r="AA160" s="4"/>
      <c r="AB160" s="20"/>
      <c r="AC160" s="21"/>
      <c r="AD160" s="21"/>
      <c r="AE160" s="21"/>
    </row>
    <row r="161" spans="1:32" s="10" customFormat="1" ht="14.25" customHeight="1" x14ac:dyDescent="0.3">
      <c r="A161" s="51"/>
      <c r="B161" s="21"/>
      <c r="C161" s="4"/>
      <c r="D161" s="4"/>
      <c r="E161" s="4"/>
      <c r="F161" s="4"/>
      <c r="G161" s="4"/>
      <c r="H161" s="4"/>
      <c r="I161" s="4"/>
      <c r="J161" s="21"/>
      <c r="K161" s="21"/>
      <c r="L161" s="21"/>
      <c r="M161" s="21"/>
      <c r="N161" s="21"/>
      <c r="O161" s="21"/>
      <c r="P161" s="21"/>
      <c r="Q161" s="21"/>
      <c r="R161" s="21"/>
      <c r="S161" s="21"/>
      <c r="T161" s="20"/>
      <c r="U161" s="21"/>
      <c r="V161" s="4"/>
      <c r="W161" s="4"/>
      <c r="X161" s="4"/>
      <c r="Y161" s="20"/>
      <c r="Z161" s="20"/>
      <c r="AA161" s="4"/>
      <c r="AB161" s="20"/>
      <c r="AC161" s="21"/>
      <c r="AD161" s="21"/>
      <c r="AE161" s="21"/>
    </row>
    <row r="162" spans="1:32" s="10" customFormat="1" x14ac:dyDescent="0.3">
      <c r="A162" s="51"/>
      <c r="B162" s="21"/>
      <c r="C162" s="4"/>
      <c r="D162" s="4"/>
      <c r="E162" s="4"/>
      <c r="F162" s="4"/>
      <c r="G162" s="4"/>
      <c r="H162" s="4"/>
      <c r="I162" s="4"/>
      <c r="J162" s="21"/>
      <c r="K162" s="21"/>
      <c r="L162" s="21"/>
      <c r="M162" s="21"/>
      <c r="N162" s="21"/>
      <c r="O162" s="21"/>
      <c r="P162" s="21"/>
      <c r="Q162" s="21"/>
      <c r="R162" s="21"/>
      <c r="S162" s="21"/>
      <c r="T162" s="20"/>
      <c r="U162" s="21"/>
      <c r="V162" s="4"/>
      <c r="W162" s="4"/>
      <c r="X162" s="4"/>
      <c r="Y162" s="20"/>
      <c r="Z162" s="20"/>
      <c r="AA162" s="4"/>
      <c r="AB162" s="20"/>
      <c r="AC162" s="21"/>
      <c r="AD162" s="21"/>
      <c r="AE162" s="21"/>
    </row>
    <row r="163" spans="1:32" s="10" customFormat="1" ht="14.25" customHeight="1" x14ac:dyDescent="0.3">
      <c r="A163" s="51"/>
      <c r="B163" s="21"/>
      <c r="C163" s="4"/>
      <c r="D163" s="4"/>
      <c r="E163" s="4"/>
      <c r="F163" s="4"/>
      <c r="G163" s="4"/>
      <c r="H163" s="4"/>
      <c r="I163" s="4"/>
      <c r="J163" s="21"/>
      <c r="K163" s="21"/>
      <c r="L163" s="21"/>
      <c r="M163" s="21"/>
      <c r="N163" s="21"/>
      <c r="O163" s="21"/>
      <c r="P163" s="21"/>
      <c r="Q163" s="21"/>
      <c r="R163" s="21"/>
      <c r="S163" s="21"/>
      <c r="T163" s="20"/>
      <c r="U163" s="21"/>
      <c r="V163" s="4"/>
      <c r="W163" s="4"/>
      <c r="X163" s="4"/>
      <c r="Y163" s="20"/>
      <c r="Z163" s="20"/>
      <c r="AA163" s="4"/>
      <c r="AB163" s="20"/>
      <c r="AC163" s="21"/>
      <c r="AD163" s="21"/>
      <c r="AE163" s="21"/>
    </row>
    <row r="164" spans="1:32" s="10" customFormat="1" ht="14.25" customHeight="1" x14ac:dyDescent="0.3">
      <c r="A164" s="51"/>
      <c r="B164" s="21"/>
      <c r="C164" s="4"/>
      <c r="D164" s="4"/>
      <c r="E164" s="4"/>
      <c r="F164" s="4"/>
      <c r="G164" s="4"/>
      <c r="H164" s="4"/>
      <c r="I164" s="4"/>
      <c r="J164" s="21"/>
      <c r="K164" s="21"/>
      <c r="L164" s="21"/>
      <c r="M164" s="21"/>
      <c r="N164" s="21"/>
      <c r="O164" s="21"/>
      <c r="P164" s="21"/>
      <c r="Q164" s="21"/>
      <c r="R164" s="21"/>
      <c r="S164" s="21"/>
      <c r="T164" s="20"/>
      <c r="U164" s="21"/>
      <c r="V164" s="4"/>
      <c r="W164" s="4"/>
      <c r="X164" s="4"/>
      <c r="Y164" s="20"/>
      <c r="Z164" s="20"/>
      <c r="AA164" s="4"/>
      <c r="AB164" s="20"/>
      <c r="AC164" s="21"/>
      <c r="AD164" s="21"/>
      <c r="AE164" s="21"/>
    </row>
    <row r="165" spans="1:32" s="10" customFormat="1" ht="12" customHeight="1" x14ac:dyDescent="0.3">
      <c r="A165" s="51"/>
      <c r="B165" s="21"/>
      <c r="C165" s="4"/>
      <c r="D165" s="4"/>
      <c r="E165" s="4"/>
      <c r="F165" s="4"/>
      <c r="G165" s="4"/>
      <c r="H165" s="4"/>
      <c r="I165" s="4"/>
      <c r="J165" s="21"/>
      <c r="K165" s="21"/>
      <c r="L165" s="21"/>
      <c r="M165" s="21"/>
      <c r="N165" s="21"/>
      <c r="O165" s="21"/>
      <c r="P165" s="21"/>
      <c r="Q165" s="21"/>
      <c r="R165" s="21"/>
      <c r="S165" s="21"/>
      <c r="T165" s="20"/>
      <c r="U165" s="21"/>
      <c r="V165" s="4"/>
      <c r="W165" s="4"/>
      <c r="X165" s="4"/>
      <c r="Y165" s="20"/>
      <c r="Z165" s="20"/>
      <c r="AA165" s="4"/>
      <c r="AB165" s="20"/>
      <c r="AC165" s="21"/>
      <c r="AD165" s="21"/>
      <c r="AE165" s="21"/>
    </row>
    <row r="166" spans="1:32" s="10" customFormat="1" x14ac:dyDescent="0.3">
      <c r="A166" s="51"/>
      <c r="B166" s="21"/>
      <c r="C166" s="4"/>
      <c r="D166" s="4"/>
      <c r="E166" s="4"/>
      <c r="F166" s="4"/>
      <c r="G166" s="4"/>
      <c r="H166" s="4"/>
      <c r="I166" s="4"/>
      <c r="J166" s="21"/>
      <c r="K166" s="21"/>
      <c r="L166" s="21"/>
      <c r="M166" s="21"/>
      <c r="N166" s="21"/>
      <c r="O166" s="21"/>
      <c r="P166" s="21"/>
      <c r="Q166" s="21"/>
      <c r="R166" s="21"/>
      <c r="S166" s="21"/>
      <c r="T166" s="20"/>
      <c r="U166" s="21"/>
      <c r="V166" s="4"/>
      <c r="W166" s="4"/>
      <c r="X166" s="4"/>
      <c r="Y166" s="20"/>
      <c r="Z166" s="20"/>
      <c r="AA166" s="4"/>
      <c r="AB166" s="20"/>
      <c r="AC166" s="21"/>
      <c r="AD166" s="21"/>
      <c r="AE166" s="21"/>
    </row>
    <row r="167" spans="1:32" s="10" customFormat="1" x14ac:dyDescent="0.3">
      <c r="A167" s="51"/>
      <c r="B167" s="21"/>
      <c r="C167" s="4"/>
      <c r="D167" s="4"/>
      <c r="E167" s="4"/>
      <c r="F167" s="4"/>
      <c r="G167" s="4"/>
      <c r="H167" s="4"/>
      <c r="I167" s="4"/>
      <c r="J167" s="21"/>
      <c r="K167" s="21"/>
      <c r="L167" s="21"/>
      <c r="M167" s="21"/>
      <c r="N167" s="21"/>
      <c r="O167" s="21"/>
      <c r="P167" s="21"/>
      <c r="Q167" s="21"/>
      <c r="R167" s="21"/>
      <c r="S167" s="21"/>
      <c r="T167" s="20"/>
      <c r="U167" s="21"/>
      <c r="V167" s="4"/>
      <c r="W167" s="4"/>
      <c r="X167" s="4"/>
      <c r="Y167" s="20"/>
      <c r="Z167" s="20"/>
      <c r="AA167" s="4"/>
      <c r="AB167" s="20"/>
      <c r="AC167" s="21"/>
      <c r="AD167" s="21"/>
      <c r="AE167" s="21"/>
    </row>
    <row r="168" spans="1:32" s="10" customFormat="1" x14ac:dyDescent="0.3">
      <c r="A168" s="51"/>
      <c r="B168" s="21"/>
      <c r="C168" s="4"/>
      <c r="D168" s="4"/>
      <c r="E168" s="4"/>
      <c r="F168" s="4"/>
      <c r="G168" s="4"/>
      <c r="H168" s="4"/>
      <c r="I168" s="4"/>
      <c r="J168" s="21"/>
      <c r="K168" s="21"/>
      <c r="L168" s="21"/>
      <c r="M168" s="21"/>
      <c r="N168" s="21"/>
      <c r="O168" s="21"/>
      <c r="P168" s="21"/>
      <c r="Q168" s="21"/>
      <c r="R168" s="21"/>
      <c r="S168" s="21"/>
      <c r="T168" s="20"/>
      <c r="U168" s="21"/>
      <c r="V168" s="4"/>
      <c r="W168" s="4"/>
      <c r="X168" s="4"/>
      <c r="Y168" s="20"/>
      <c r="Z168" s="20"/>
      <c r="AA168" s="4"/>
      <c r="AB168" s="20"/>
      <c r="AC168" s="21"/>
      <c r="AD168" s="21"/>
      <c r="AE168" s="21"/>
    </row>
    <row r="169" spans="1:32" s="10" customFormat="1" x14ac:dyDescent="0.3">
      <c r="A169" s="51"/>
      <c r="B169" s="21"/>
      <c r="C169" s="4"/>
      <c r="D169" s="4"/>
      <c r="E169" s="4"/>
      <c r="F169" s="4"/>
      <c r="G169" s="4"/>
      <c r="H169" s="4"/>
      <c r="I169" s="4"/>
      <c r="J169" s="21"/>
      <c r="K169" s="21"/>
      <c r="L169" s="21"/>
      <c r="M169" s="21"/>
      <c r="N169" s="21"/>
      <c r="O169" s="21"/>
      <c r="P169" s="21"/>
      <c r="Q169" s="21"/>
      <c r="R169" s="21"/>
      <c r="S169" s="21"/>
      <c r="T169" s="20"/>
      <c r="U169" s="21"/>
      <c r="V169" s="4"/>
      <c r="W169" s="4"/>
      <c r="X169" s="4"/>
      <c r="Y169" s="20"/>
      <c r="Z169" s="20"/>
      <c r="AA169" s="4"/>
      <c r="AB169" s="20"/>
      <c r="AC169" s="21"/>
      <c r="AD169" s="21"/>
      <c r="AE169" s="21"/>
    </row>
    <row r="170" spans="1:32" s="10" customFormat="1" x14ac:dyDescent="0.3">
      <c r="A170" s="51"/>
      <c r="B170" s="21"/>
      <c r="C170" s="4"/>
      <c r="D170" s="4"/>
      <c r="E170" s="4"/>
      <c r="F170" s="4"/>
      <c r="G170" s="4"/>
      <c r="H170" s="4"/>
      <c r="I170" s="4"/>
      <c r="J170" s="21"/>
      <c r="K170" s="21"/>
      <c r="L170" s="21"/>
      <c r="M170" s="21"/>
      <c r="N170" s="21"/>
      <c r="O170" s="21"/>
      <c r="P170" s="21"/>
      <c r="Q170" s="21"/>
      <c r="R170" s="21"/>
      <c r="S170" s="21"/>
      <c r="T170" s="20"/>
      <c r="U170" s="21"/>
      <c r="V170" s="4"/>
      <c r="W170" s="4"/>
      <c r="X170" s="4"/>
      <c r="Y170" s="20"/>
      <c r="Z170" s="20"/>
      <c r="AA170" s="4"/>
      <c r="AB170" s="20"/>
      <c r="AC170" s="21"/>
      <c r="AD170" s="21"/>
      <c r="AE170" s="21"/>
    </row>
    <row r="171" spans="1:32" s="10" customFormat="1" x14ac:dyDescent="0.3">
      <c r="A171" s="51"/>
      <c r="B171" s="21"/>
      <c r="C171" s="4"/>
      <c r="D171" s="4"/>
      <c r="E171" s="4"/>
      <c r="F171" s="4"/>
      <c r="G171" s="4"/>
      <c r="H171" s="4"/>
      <c r="I171" s="4"/>
      <c r="J171" s="21"/>
      <c r="K171" s="21"/>
      <c r="L171" s="21"/>
      <c r="M171" s="21"/>
      <c r="N171" s="21"/>
      <c r="O171" s="21"/>
      <c r="P171" s="21"/>
      <c r="Q171" s="21"/>
      <c r="R171" s="21"/>
      <c r="S171" s="21"/>
      <c r="T171" s="20"/>
      <c r="U171" s="21"/>
      <c r="V171" s="4"/>
      <c r="W171" s="4"/>
      <c r="X171" s="4"/>
      <c r="Y171" s="20"/>
      <c r="Z171" s="20"/>
      <c r="AA171" s="4"/>
      <c r="AB171" s="20"/>
      <c r="AC171" s="21"/>
      <c r="AD171" s="21"/>
      <c r="AE171" s="21"/>
    </row>
    <row r="172" spans="1:32" x14ac:dyDescent="0.3">
      <c r="AF172" s="10"/>
    </row>
    <row r="173" spans="1:32" s="10" customFormat="1" x14ac:dyDescent="0.3">
      <c r="A173" s="51"/>
      <c r="B173" s="21"/>
      <c r="C173" s="4"/>
      <c r="D173" s="4"/>
      <c r="E173" s="4"/>
      <c r="F173" s="4"/>
      <c r="G173" s="4"/>
      <c r="H173" s="4"/>
      <c r="I173" s="4"/>
      <c r="J173" s="21"/>
      <c r="K173" s="21"/>
      <c r="L173" s="21"/>
      <c r="M173" s="21"/>
      <c r="N173" s="21"/>
      <c r="O173" s="21"/>
      <c r="P173" s="21"/>
      <c r="Q173" s="21"/>
      <c r="R173" s="21"/>
      <c r="S173" s="21"/>
      <c r="T173" s="20"/>
      <c r="U173" s="21"/>
      <c r="V173" s="4"/>
      <c r="W173" s="4"/>
      <c r="X173" s="4"/>
      <c r="Y173" s="20"/>
      <c r="Z173" s="20"/>
      <c r="AA173" s="4"/>
      <c r="AB173" s="20"/>
      <c r="AC173" s="21"/>
      <c r="AD173" s="21"/>
      <c r="AE173" s="21"/>
    </row>
    <row r="174" spans="1:32" s="10" customFormat="1" x14ac:dyDescent="0.3">
      <c r="A174" s="51"/>
      <c r="B174" s="21"/>
      <c r="C174" s="4"/>
      <c r="D174" s="4"/>
      <c r="E174" s="4"/>
      <c r="F174" s="4"/>
      <c r="G174" s="4"/>
      <c r="H174" s="4"/>
      <c r="I174" s="4"/>
      <c r="J174" s="21"/>
      <c r="K174" s="21"/>
      <c r="L174" s="21"/>
      <c r="M174" s="21"/>
      <c r="N174" s="21"/>
      <c r="O174" s="21"/>
      <c r="P174" s="21"/>
      <c r="Q174" s="21"/>
      <c r="R174" s="21"/>
      <c r="S174" s="21"/>
      <c r="T174" s="20"/>
      <c r="U174" s="21"/>
      <c r="V174" s="4"/>
      <c r="W174" s="4"/>
      <c r="X174" s="4"/>
      <c r="Y174" s="20"/>
      <c r="Z174" s="20"/>
      <c r="AA174" s="4"/>
      <c r="AB174" s="20"/>
      <c r="AC174" s="21"/>
      <c r="AD174" s="21"/>
      <c r="AE174" s="21"/>
    </row>
    <row r="175" spans="1:32" s="10" customFormat="1" x14ac:dyDescent="0.3">
      <c r="A175" s="51"/>
      <c r="B175" s="21"/>
      <c r="C175" s="4"/>
      <c r="D175" s="4"/>
      <c r="E175" s="4"/>
      <c r="F175" s="4"/>
      <c r="G175" s="4"/>
      <c r="H175" s="4"/>
      <c r="I175" s="4"/>
      <c r="J175" s="21"/>
      <c r="K175" s="21"/>
      <c r="L175" s="21"/>
      <c r="M175" s="21"/>
      <c r="N175" s="21"/>
      <c r="O175" s="21"/>
      <c r="P175" s="21"/>
      <c r="Q175" s="21"/>
      <c r="R175" s="21"/>
      <c r="S175" s="21"/>
      <c r="T175" s="20"/>
      <c r="U175" s="21"/>
      <c r="V175" s="4"/>
      <c r="W175" s="4"/>
      <c r="X175" s="4"/>
      <c r="Y175" s="20"/>
      <c r="Z175" s="20"/>
      <c r="AA175" s="4"/>
      <c r="AB175" s="20"/>
      <c r="AC175" s="21"/>
      <c r="AD175" s="21"/>
      <c r="AE175" s="21"/>
    </row>
    <row r="176" spans="1:32" s="10" customFormat="1" x14ac:dyDescent="0.3">
      <c r="A176" s="51"/>
      <c r="B176" s="21"/>
      <c r="C176" s="4"/>
      <c r="D176" s="4"/>
      <c r="E176" s="4"/>
      <c r="F176" s="4"/>
      <c r="G176" s="4"/>
      <c r="H176" s="4"/>
      <c r="I176" s="4"/>
      <c r="J176" s="21"/>
      <c r="K176" s="21"/>
      <c r="L176" s="21"/>
      <c r="M176" s="21"/>
      <c r="N176" s="21"/>
      <c r="O176" s="21"/>
      <c r="P176" s="21"/>
      <c r="Q176" s="21"/>
      <c r="R176" s="21"/>
      <c r="S176" s="21"/>
      <c r="T176" s="20"/>
      <c r="U176" s="21"/>
      <c r="V176" s="4"/>
      <c r="W176" s="4"/>
      <c r="X176" s="4"/>
      <c r="Y176" s="20"/>
      <c r="Z176" s="20"/>
      <c r="AA176" s="4"/>
      <c r="AB176" s="20"/>
      <c r="AC176" s="21"/>
      <c r="AD176" s="21"/>
      <c r="AE176" s="21"/>
      <c r="AF176" s="12"/>
    </row>
    <row r="177" spans="1:32" s="10" customFormat="1" x14ac:dyDescent="0.3">
      <c r="A177" s="51"/>
      <c r="B177" s="21"/>
      <c r="C177" s="4"/>
      <c r="D177" s="4"/>
      <c r="E177" s="4"/>
      <c r="F177" s="4"/>
      <c r="G177" s="4"/>
      <c r="H177" s="4"/>
      <c r="I177" s="4"/>
      <c r="J177" s="21"/>
      <c r="K177" s="21"/>
      <c r="L177" s="21"/>
      <c r="M177" s="21"/>
      <c r="N177" s="21"/>
      <c r="O177" s="21"/>
      <c r="P177" s="21"/>
      <c r="Q177" s="21"/>
      <c r="R177" s="21"/>
      <c r="S177" s="21"/>
      <c r="T177" s="20"/>
      <c r="U177" s="21"/>
      <c r="V177" s="4"/>
      <c r="W177" s="4"/>
      <c r="X177" s="4"/>
      <c r="Y177" s="20"/>
      <c r="Z177" s="20"/>
      <c r="AA177" s="4"/>
      <c r="AB177" s="20"/>
      <c r="AC177" s="21"/>
      <c r="AD177" s="21"/>
      <c r="AE177" s="21"/>
    </row>
    <row r="178" spans="1:32" s="10" customFormat="1" x14ac:dyDescent="0.3">
      <c r="A178" s="51"/>
      <c r="B178" s="21"/>
      <c r="C178" s="4"/>
      <c r="D178" s="4"/>
      <c r="E178" s="4"/>
      <c r="F178" s="4"/>
      <c r="G178" s="4"/>
      <c r="H178" s="4"/>
      <c r="I178" s="4"/>
      <c r="J178" s="21"/>
      <c r="K178" s="21"/>
      <c r="L178" s="21"/>
      <c r="M178" s="21"/>
      <c r="N178" s="21"/>
      <c r="O178" s="21"/>
      <c r="P178" s="21"/>
      <c r="Q178" s="21"/>
      <c r="R178" s="21"/>
      <c r="S178" s="21"/>
      <c r="T178" s="20"/>
      <c r="U178" s="21"/>
      <c r="V178" s="4"/>
      <c r="W178" s="4"/>
      <c r="X178" s="4"/>
      <c r="Y178" s="20"/>
      <c r="Z178" s="20"/>
      <c r="AA178" s="4"/>
      <c r="AB178" s="20"/>
      <c r="AC178" s="21"/>
      <c r="AD178" s="21"/>
      <c r="AE178" s="21"/>
    </row>
    <row r="179" spans="1:32" s="10" customFormat="1" x14ac:dyDescent="0.3">
      <c r="A179" s="51"/>
      <c r="B179" s="21"/>
      <c r="C179" s="4"/>
      <c r="D179" s="4"/>
      <c r="E179" s="4"/>
      <c r="F179" s="4"/>
      <c r="G179" s="4"/>
      <c r="H179" s="4"/>
      <c r="I179" s="4"/>
      <c r="J179" s="21"/>
      <c r="K179" s="21"/>
      <c r="L179" s="21"/>
      <c r="M179" s="21"/>
      <c r="N179" s="21"/>
      <c r="O179" s="21"/>
      <c r="P179" s="21"/>
      <c r="Q179" s="21"/>
      <c r="R179" s="21"/>
      <c r="S179" s="21"/>
      <c r="T179" s="20"/>
      <c r="U179" s="21"/>
      <c r="V179" s="4"/>
      <c r="W179" s="4"/>
      <c r="X179" s="4"/>
      <c r="Y179" s="20"/>
      <c r="Z179" s="20"/>
      <c r="AA179" s="4"/>
      <c r="AB179" s="20"/>
      <c r="AC179" s="21"/>
      <c r="AD179" s="21"/>
      <c r="AE179" s="21"/>
    </row>
    <row r="180" spans="1:32" s="10" customFormat="1" x14ac:dyDescent="0.3">
      <c r="A180" s="51"/>
      <c r="B180" s="21"/>
      <c r="C180" s="4"/>
      <c r="D180" s="4"/>
      <c r="E180" s="4"/>
      <c r="F180" s="4"/>
      <c r="G180" s="4"/>
      <c r="H180" s="4"/>
      <c r="I180" s="4"/>
      <c r="J180" s="21"/>
      <c r="K180" s="21"/>
      <c r="L180" s="21"/>
      <c r="M180" s="21"/>
      <c r="N180" s="21"/>
      <c r="O180" s="21"/>
      <c r="P180" s="21"/>
      <c r="Q180" s="21"/>
      <c r="R180" s="21"/>
      <c r="S180" s="21"/>
      <c r="T180" s="20"/>
      <c r="U180" s="21"/>
      <c r="V180" s="4"/>
      <c r="W180" s="4"/>
      <c r="X180" s="4"/>
      <c r="Y180" s="20"/>
      <c r="Z180" s="20"/>
      <c r="AA180" s="4"/>
      <c r="AB180" s="20"/>
      <c r="AC180" s="21"/>
      <c r="AD180" s="21"/>
      <c r="AE180" s="21"/>
    </row>
    <row r="181" spans="1:32" s="10" customFormat="1" ht="17.25" customHeight="1" x14ac:dyDescent="0.3">
      <c r="A181" s="51"/>
      <c r="B181" s="21"/>
      <c r="C181" s="4"/>
      <c r="D181" s="4"/>
      <c r="E181" s="4"/>
      <c r="F181" s="4"/>
      <c r="G181" s="4"/>
      <c r="H181" s="4"/>
      <c r="I181" s="4"/>
      <c r="J181" s="21"/>
      <c r="K181" s="21"/>
      <c r="L181" s="21"/>
      <c r="M181" s="21"/>
      <c r="N181" s="21"/>
      <c r="O181" s="21"/>
      <c r="P181" s="21"/>
      <c r="Q181" s="21"/>
      <c r="R181" s="21"/>
      <c r="S181" s="21"/>
      <c r="T181" s="20"/>
      <c r="U181" s="21"/>
      <c r="V181" s="4"/>
      <c r="W181" s="4"/>
      <c r="X181" s="4"/>
      <c r="Y181" s="20"/>
      <c r="Z181" s="20"/>
      <c r="AA181" s="4"/>
      <c r="AB181" s="20"/>
      <c r="AC181" s="21"/>
      <c r="AD181" s="21"/>
      <c r="AE181" s="21"/>
    </row>
    <row r="182" spans="1:32" s="10" customFormat="1" ht="18" customHeight="1" x14ac:dyDescent="0.3">
      <c r="A182" s="51"/>
      <c r="B182" s="21"/>
      <c r="C182" s="4"/>
      <c r="D182" s="4"/>
      <c r="E182" s="4"/>
      <c r="F182" s="4"/>
      <c r="G182" s="4"/>
      <c r="H182" s="4"/>
      <c r="I182" s="4"/>
      <c r="J182" s="21"/>
      <c r="K182" s="21"/>
      <c r="L182" s="21"/>
      <c r="M182" s="21"/>
      <c r="N182" s="21"/>
      <c r="O182" s="21"/>
      <c r="P182" s="21"/>
      <c r="Q182" s="21"/>
      <c r="R182" s="21"/>
      <c r="S182" s="21"/>
      <c r="T182" s="20"/>
      <c r="U182" s="21"/>
      <c r="V182" s="4"/>
      <c r="W182" s="4"/>
      <c r="X182" s="4"/>
      <c r="Y182" s="20"/>
      <c r="Z182" s="20"/>
      <c r="AA182" s="4"/>
      <c r="AB182" s="20"/>
      <c r="AC182" s="21"/>
      <c r="AD182" s="21"/>
      <c r="AE182" s="21"/>
    </row>
    <row r="183" spans="1:32" s="10" customFormat="1" ht="17.25" customHeight="1" x14ac:dyDescent="0.3">
      <c r="A183" s="51"/>
      <c r="B183" s="21"/>
      <c r="C183" s="4"/>
      <c r="D183" s="4"/>
      <c r="E183" s="4"/>
      <c r="F183" s="4"/>
      <c r="G183" s="4"/>
      <c r="H183" s="4"/>
      <c r="I183" s="4"/>
      <c r="J183" s="21"/>
      <c r="K183" s="21"/>
      <c r="L183" s="21"/>
      <c r="M183" s="21"/>
      <c r="N183" s="21"/>
      <c r="O183" s="21"/>
      <c r="P183" s="21"/>
      <c r="Q183" s="21"/>
      <c r="R183" s="21"/>
      <c r="S183" s="21"/>
      <c r="T183" s="20"/>
      <c r="U183" s="21"/>
      <c r="V183" s="4"/>
      <c r="W183" s="4"/>
      <c r="X183" s="4"/>
      <c r="Y183" s="20"/>
      <c r="Z183" s="20"/>
      <c r="AA183" s="4"/>
      <c r="AB183" s="20"/>
      <c r="AC183" s="21"/>
      <c r="AD183" s="21"/>
      <c r="AE183" s="21"/>
    </row>
    <row r="184" spans="1:32" s="10" customFormat="1" ht="13.5" customHeight="1" x14ac:dyDescent="0.3">
      <c r="A184" s="51"/>
      <c r="B184" s="21"/>
      <c r="C184" s="4"/>
      <c r="D184" s="4"/>
      <c r="E184" s="4"/>
      <c r="F184" s="4"/>
      <c r="G184" s="4"/>
      <c r="H184" s="4"/>
      <c r="I184" s="4"/>
      <c r="J184" s="21"/>
      <c r="K184" s="21"/>
      <c r="L184" s="21"/>
      <c r="M184" s="21"/>
      <c r="N184" s="21"/>
      <c r="O184" s="21"/>
      <c r="P184" s="21"/>
      <c r="Q184" s="21"/>
      <c r="R184" s="21"/>
      <c r="S184" s="21"/>
      <c r="T184" s="20"/>
      <c r="U184" s="21"/>
      <c r="V184" s="4"/>
      <c r="W184" s="4"/>
      <c r="X184" s="4"/>
      <c r="Y184" s="20"/>
      <c r="Z184" s="20"/>
      <c r="AA184" s="4"/>
      <c r="AB184" s="20"/>
      <c r="AC184" s="21"/>
      <c r="AD184" s="21"/>
      <c r="AE184" s="21"/>
    </row>
    <row r="185" spans="1:32" s="10" customFormat="1" ht="16.5" customHeight="1" x14ac:dyDescent="0.3">
      <c r="A185" s="51"/>
      <c r="B185" s="21"/>
      <c r="C185" s="4"/>
      <c r="D185" s="4"/>
      <c r="E185" s="4"/>
      <c r="F185" s="4"/>
      <c r="G185" s="4"/>
      <c r="H185" s="4"/>
      <c r="I185" s="4"/>
      <c r="J185" s="21"/>
      <c r="K185" s="21"/>
      <c r="L185" s="21"/>
      <c r="M185" s="21"/>
      <c r="N185" s="21"/>
      <c r="O185" s="21"/>
      <c r="P185" s="21"/>
      <c r="Q185" s="21"/>
      <c r="R185" s="21"/>
      <c r="S185" s="21"/>
      <c r="T185" s="20"/>
      <c r="U185" s="21"/>
      <c r="V185" s="4"/>
      <c r="W185" s="4"/>
      <c r="X185" s="4"/>
      <c r="Y185" s="20"/>
      <c r="Z185" s="20"/>
      <c r="AA185" s="4"/>
      <c r="AB185" s="20"/>
      <c r="AC185" s="21"/>
      <c r="AD185" s="21"/>
      <c r="AE185" s="21"/>
    </row>
    <row r="186" spans="1:32" s="10" customFormat="1" x14ac:dyDescent="0.3">
      <c r="A186" s="51"/>
      <c r="B186" s="21"/>
      <c r="C186" s="4"/>
      <c r="D186" s="4"/>
      <c r="E186" s="4"/>
      <c r="F186" s="4"/>
      <c r="G186" s="4"/>
      <c r="H186" s="4"/>
      <c r="I186" s="4"/>
      <c r="J186" s="21"/>
      <c r="K186" s="21"/>
      <c r="L186" s="21"/>
      <c r="M186" s="21"/>
      <c r="N186" s="21"/>
      <c r="O186" s="21"/>
      <c r="P186" s="21"/>
      <c r="Q186" s="21"/>
      <c r="R186" s="21"/>
      <c r="S186" s="21"/>
      <c r="T186" s="20"/>
      <c r="U186" s="21"/>
      <c r="V186" s="4"/>
      <c r="W186" s="4"/>
      <c r="X186" s="4"/>
      <c r="Y186" s="20"/>
      <c r="Z186" s="20"/>
      <c r="AA186" s="4"/>
      <c r="AB186" s="20"/>
      <c r="AC186" s="21"/>
      <c r="AD186" s="21"/>
      <c r="AE186" s="21"/>
    </row>
    <row r="187" spans="1:32" s="10" customFormat="1" x14ac:dyDescent="0.3">
      <c r="A187" s="51"/>
      <c r="B187" s="21"/>
      <c r="C187" s="4"/>
      <c r="D187" s="4"/>
      <c r="E187" s="4"/>
      <c r="F187" s="4"/>
      <c r="G187" s="4"/>
      <c r="H187" s="4"/>
      <c r="I187" s="4"/>
      <c r="J187" s="21"/>
      <c r="K187" s="21"/>
      <c r="L187" s="21"/>
      <c r="M187" s="21"/>
      <c r="N187" s="21"/>
      <c r="O187" s="21"/>
      <c r="P187" s="21"/>
      <c r="Q187" s="21"/>
      <c r="R187" s="21"/>
      <c r="S187" s="21"/>
      <c r="T187" s="20"/>
      <c r="U187" s="21"/>
      <c r="V187" s="4"/>
      <c r="W187" s="4"/>
      <c r="X187" s="4"/>
      <c r="Y187" s="20"/>
      <c r="Z187" s="20"/>
      <c r="AA187" s="4"/>
      <c r="AB187" s="20"/>
      <c r="AC187" s="21"/>
      <c r="AD187" s="21"/>
      <c r="AE187" s="21"/>
    </row>
    <row r="188" spans="1:32" s="10" customFormat="1" x14ac:dyDescent="0.3">
      <c r="A188" s="51"/>
      <c r="B188" s="21"/>
      <c r="C188" s="4"/>
      <c r="D188" s="4"/>
      <c r="E188" s="4"/>
      <c r="F188" s="4"/>
      <c r="G188" s="4"/>
      <c r="H188" s="4"/>
      <c r="I188" s="4"/>
      <c r="J188" s="21"/>
      <c r="K188" s="21"/>
      <c r="L188" s="21"/>
      <c r="M188" s="21"/>
      <c r="N188" s="21"/>
      <c r="O188" s="21"/>
      <c r="P188" s="21"/>
      <c r="Q188" s="21"/>
      <c r="R188" s="21"/>
      <c r="S188" s="21"/>
      <c r="T188" s="20"/>
      <c r="U188" s="21"/>
      <c r="V188" s="4"/>
      <c r="W188" s="4"/>
      <c r="X188" s="4"/>
      <c r="Y188" s="20"/>
      <c r="Z188" s="20"/>
      <c r="AA188" s="4"/>
      <c r="AB188" s="20"/>
      <c r="AC188" s="21"/>
      <c r="AD188" s="21"/>
      <c r="AE188" s="21"/>
    </row>
    <row r="189" spans="1:32" s="10" customFormat="1" x14ac:dyDescent="0.3">
      <c r="A189" s="51"/>
      <c r="B189" s="21"/>
      <c r="C189" s="4"/>
      <c r="D189" s="4"/>
      <c r="E189" s="4"/>
      <c r="F189" s="4"/>
      <c r="G189" s="4"/>
      <c r="H189" s="4"/>
      <c r="I189" s="4"/>
      <c r="J189" s="21"/>
      <c r="K189" s="21"/>
      <c r="L189" s="21"/>
      <c r="M189" s="21"/>
      <c r="N189" s="21"/>
      <c r="O189" s="21"/>
      <c r="P189" s="21"/>
      <c r="Q189" s="21"/>
      <c r="R189" s="21"/>
      <c r="S189" s="21"/>
      <c r="T189" s="20"/>
      <c r="U189" s="21"/>
      <c r="V189" s="4"/>
      <c r="W189" s="4"/>
      <c r="X189" s="4"/>
      <c r="Y189" s="20"/>
      <c r="Z189" s="20"/>
      <c r="AA189" s="4"/>
      <c r="AB189" s="20"/>
      <c r="AC189" s="21"/>
      <c r="AD189" s="21"/>
      <c r="AE189" s="21"/>
    </row>
    <row r="190" spans="1:32" s="10" customFormat="1" x14ac:dyDescent="0.3">
      <c r="A190" s="51"/>
      <c r="B190" s="21"/>
      <c r="C190" s="4"/>
      <c r="D190" s="4"/>
      <c r="E190" s="4"/>
      <c r="F190" s="4"/>
      <c r="G190" s="4"/>
      <c r="H190" s="4"/>
      <c r="I190" s="4"/>
      <c r="J190" s="21"/>
      <c r="K190" s="21"/>
      <c r="L190" s="21"/>
      <c r="M190" s="21"/>
      <c r="N190" s="21"/>
      <c r="O190" s="21"/>
      <c r="P190" s="21"/>
      <c r="Q190" s="21"/>
      <c r="R190" s="21"/>
      <c r="S190" s="21"/>
      <c r="T190" s="20"/>
      <c r="U190" s="21"/>
      <c r="V190" s="4"/>
      <c r="W190" s="4"/>
      <c r="X190" s="4"/>
      <c r="Y190" s="20"/>
      <c r="Z190" s="20"/>
      <c r="AA190" s="4"/>
      <c r="AB190" s="20"/>
      <c r="AC190" s="21"/>
      <c r="AD190" s="21"/>
      <c r="AE190" s="21"/>
    </row>
    <row r="191" spans="1:32" s="16" customFormat="1" x14ac:dyDescent="0.3">
      <c r="A191" s="51"/>
      <c r="B191" s="21"/>
      <c r="C191" s="4"/>
      <c r="D191" s="4"/>
      <c r="E191" s="4"/>
      <c r="F191" s="4"/>
      <c r="G191" s="4"/>
      <c r="H191" s="4"/>
      <c r="I191" s="4"/>
      <c r="J191" s="21"/>
      <c r="K191" s="21"/>
      <c r="L191" s="21"/>
      <c r="M191" s="21"/>
      <c r="N191" s="21"/>
      <c r="O191" s="21"/>
      <c r="P191" s="21"/>
      <c r="Q191" s="21"/>
      <c r="R191" s="21"/>
      <c r="S191" s="21"/>
      <c r="T191" s="20"/>
      <c r="U191" s="21"/>
      <c r="V191" s="4"/>
      <c r="W191" s="4"/>
      <c r="X191" s="4"/>
      <c r="Y191" s="20"/>
      <c r="Z191" s="20"/>
      <c r="AA191" s="4"/>
      <c r="AB191" s="20"/>
      <c r="AC191" s="21"/>
      <c r="AD191" s="21"/>
      <c r="AE191" s="21"/>
      <c r="AF191" s="10"/>
    </row>
    <row r="192" spans="1:32" x14ac:dyDescent="0.3">
      <c r="AF192" s="10"/>
    </row>
    <row r="193" spans="32:32" x14ac:dyDescent="0.3">
      <c r="AF193" s="10"/>
    </row>
    <row r="194" spans="32:32" x14ac:dyDescent="0.3">
      <c r="AF194" s="10"/>
    </row>
    <row r="195" spans="32:32" x14ac:dyDescent="0.3">
      <c r="AF195" s="16"/>
    </row>
  </sheetData>
  <conditionalFormatting sqref="AF2:AF9">
    <cfRule type="expression" dxfId="6" priority="1" stopIfTrue="1">
      <formula>$P2="9-Withdrawn"</formula>
    </cfRule>
  </conditionalFormatting>
  <conditionalFormatting sqref="A2:AF9">
    <cfRule type="expression" dxfId="5" priority="5" stopIfTrue="1">
      <formula>AND($G2="Policy",NOT($AG2))</formula>
    </cfRule>
    <cfRule type="expression" dxfId="4" priority="6" stopIfTrue="1">
      <formula>AND($G2="Procedure",NOT($AG2))</formula>
    </cfRule>
    <cfRule type="expression" dxfId="3" priority="7" stopIfTrue="1">
      <formula>AND($G2="Plan",NOT($AG2))</formula>
    </cfRule>
  </conditionalFormatting>
  <conditionalFormatting sqref="AA2:AA9">
    <cfRule type="expression" dxfId="2" priority="2" stopIfTrue="1">
      <formula>$AA2&gt;1</formula>
    </cfRule>
    <cfRule type="expression" dxfId="1" priority="3" stopIfTrue="1">
      <formula>$AA2&gt;-0.01</formula>
    </cfRule>
    <cfRule type="expression" dxfId="0" priority="4" stopIfTrue="1">
      <formula>$AA2&lt;0</formula>
    </cfRule>
  </conditionalFormatting>
  <pageMargins left="0.19685039370078741" right="0.19685039370078741" top="0.94488188976377963" bottom="0.74803149606299213" header="0.31496062992125984" footer="0.31496062992125984"/>
  <pageSetup paperSize="9" scale="39" fitToHeight="2" orientation="landscape" r:id="rId1"/>
  <headerFooter>
    <oddHeader>&amp;L&amp;"Corbel,Regular"&amp;G&amp;R&amp;K08+000 Activity:&amp;K01+000ISMS&amp;K08+000
 Title:&amp;K01+000 ITR-DocList
&amp;K08+000 Classification:&amp;K01+000 Internal(IN)</oddHeader>
    <oddFooter>&amp;L&amp;"Corbel,Regular"&amp;F&amp;C&amp;"Corbel,Regular"&amp;D - &amp;T&amp;R
&amp;"Corbel,Regular"&amp;A - &amp;P/&amp;N</oddFoot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C8A57B35-1776-43DD-9DA6-4FA68C590457}">
          <x14:formula1>
            <xm:f>Parameters!$B$24:$B$38</xm:f>
          </x14:formula1>
          <xm:sqref>P2:P9</xm:sqref>
        </x14:dataValidation>
        <x14:dataValidation type="list" allowBlank="1" showInputMessage="1" showErrorMessage="1" xr:uid="{6594B0A0-7EC5-4452-A7BA-2036EA21E7C2}">
          <x14:formula1>
            <xm:f>Parameters!$A$40:$A$46</xm:f>
          </x14:formula1>
          <xm:sqref>Q2:Q9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9AB74-A721-49A3-A5EB-5A2B471F25F2}">
  <sheetPr codeName="Sheet1">
    <pageSetUpPr fitToPage="1"/>
  </sheetPr>
  <dimension ref="A1:D48"/>
  <sheetViews>
    <sheetView topLeftCell="A20" zoomScale="130" zoomScaleNormal="130" zoomScalePageLayoutView="95" workbookViewId="0">
      <selection activeCell="B54" sqref="B54"/>
    </sheetView>
  </sheetViews>
  <sheetFormatPr defaultRowHeight="10.75" x14ac:dyDescent="0.3"/>
  <cols>
    <col min="1" max="1" width="29.19921875" customWidth="1"/>
    <col min="2" max="2" width="59.69921875" customWidth="1"/>
    <col min="3" max="3" width="27" customWidth="1"/>
    <col min="4" max="4" width="13" bestFit="1" customWidth="1"/>
  </cols>
  <sheetData>
    <row r="1" spans="1:4" ht="14.6" x14ac:dyDescent="0.3">
      <c r="A1" s="23" t="s">
        <v>49</v>
      </c>
      <c r="B1" s="23"/>
      <c r="C1" s="24"/>
      <c r="D1" s="24"/>
    </row>
    <row r="2" spans="1:4" x14ac:dyDescent="0.3">
      <c r="A2" s="24"/>
      <c r="B2" s="24"/>
      <c r="C2" s="24"/>
      <c r="D2" s="24"/>
    </row>
    <row r="3" spans="1:4" ht="14.6" x14ac:dyDescent="0.3">
      <c r="A3" s="23" t="s">
        <v>50</v>
      </c>
    </row>
    <row r="4" spans="1:4" x14ac:dyDescent="0.3">
      <c r="A4" t="s">
        <v>51</v>
      </c>
      <c r="B4" t="s">
        <v>3</v>
      </c>
      <c r="C4" t="s">
        <v>52</v>
      </c>
    </row>
    <row r="5" spans="1:4" x14ac:dyDescent="0.3">
      <c r="A5" t="s">
        <v>53</v>
      </c>
      <c r="B5" t="s">
        <v>54</v>
      </c>
      <c r="C5" t="s">
        <v>53</v>
      </c>
    </row>
    <row r="6" spans="1:4" x14ac:dyDescent="0.3">
      <c r="A6" t="s">
        <v>55</v>
      </c>
      <c r="B6" t="s">
        <v>7</v>
      </c>
      <c r="C6" t="s">
        <v>55</v>
      </c>
    </row>
    <row r="7" spans="1:4" x14ac:dyDescent="0.3">
      <c r="A7" t="s">
        <v>56</v>
      </c>
      <c r="B7" t="s">
        <v>57</v>
      </c>
      <c r="C7" t="s">
        <v>56</v>
      </c>
    </row>
    <row r="8" spans="1:4" x14ac:dyDescent="0.3">
      <c r="A8" t="s">
        <v>58</v>
      </c>
      <c r="B8" t="s">
        <v>59</v>
      </c>
      <c r="C8" t="s">
        <v>58</v>
      </c>
    </row>
    <row r="9" spans="1:4" x14ac:dyDescent="0.3">
      <c r="A9" t="s">
        <v>60</v>
      </c>
      <c r="B9" t="s">
        <v>61</v>
      </c>
      <c r="C9" t="s">
        <v>60</v>
      </c>
    </row>
    <row r="10" spans="1:4" x14ac:dyDescent="0.3">
      <c r="A10" t="s">
        <v>62</v>
      </c>
      <c r="B10" t="s">
        <v>63</v>
      </c>
      <c r="C10" t="s">
        <v>62</v>
      </c>
    </row>
    <row r="11" spans="1:4" x14ac:dyDescent="0.3">
      <c r="A11" t="s">
        <v>64</v>
      </c>
      <c r="B11" t="s">
        <v>65</v>
      </c>
      <c r="C11" t="s">
        <v>64</v>
      </c>
    </row>
    <row r="12" spans="1:4" x14ac:dyDescent="0.3">
      <c r="A12" t="s">
        <v>66</v>
      </c>
      <c r="B12" t="s">
        <v>67</v>
      </c>
      <c r="C12" t="s">
        <v>66</v>
      </c>
    </row>
    <row r="13" spans="1:4" x14ac:dyDescent="0.3">
      <c r="A13" t="s">
        <v>68</v>
      </c>
      <c r="B13" t="s">
        <v>69</v>
      </c>
      <c r="C13" t="s">
        <v>68</v>
      </c>
    </row>
    <row r="14" spans="1:4" x14ac:dyDescent="0.3">
      <c r="A14" t="s">
        <v>70</v>
      </c>
      <c r="B14" t="s">
        <v>71</v>
      </c>
      <c r="C14" t="s">
        <v>70</v>
      </c>
    </row>
    <row r="16" spans="1:4" ht="14.6" x14ac:dyDescent="0.3">
      <c r="A16" s="23" t="s">
        <v>72</v>
      </c>
    </row>
    <row r="17" spans="1:4" x14ac:dyDescent="0.3">
      <c r="A17" t="s">
        <v>73</v>
      </c>
      <c r="B17" t="s">
        <v>74</v>
      </c>
    </row>
    <row r="18" spans="1:4" x14ac:dyDescent="0.3">
      <c r="A18" t="s">
        <v>8</v>
      </c>
      <c r="B18" t="s">
        <v>33</v>
      </c>
    </row>
    <row r="19" spans="1:4" ht="15.75" customHeight="1" x14ac:dyDescent="0.45">
      <c r="A19" t="s">
        <v>75</v>
      </c>
      <c r="B19" t="s">
        <v>76</v>
      </c>
    </row>
    <row r="20" spans="1:4" x14ac:dyDescent="0.3">
      <c r="A20" t="s">
        <v>77</v>
      </c>
      <c r="B20" t="s">
        <v>78</v>
      </c>
    </row>
    <row r="23" spans="1:4" ht="14.6" x14ac:dyDescent="0.3">
      <c r="A23" s="23" t="s">
        <v>79</v>
      </c>
      <c r="B23" s="25"/>
      <c r="C23" s="25"/>
      <c r="D23" s="24"/>
    </row>
    <row r="24" spans="1:4" ht="14.6" x14ac:dyDescent="0.3">
      <c r="A24" s="1" t="s">
        <v>80</v>
      </c>
      <c r="B24" s="1" t="s">
        <v>1</v>
      </c>
      <c r="C24" s="1" t="s">
        <v>81</v>
      </c>
      <c r="D24" s="1" t="s">
        <v>82</v>
      </c>
    </row>
    <row r="25" spans="1:4" ht="12.9" x14ac:dyDescent="0.3">
      <c r="A25" s="26" t="s">
        <v>83</v>
      </c>
      <c r="B25" s="26" t="s">
        <v>84</v>
      </c>
      <c r="C25" s="26"/>
      <c r="D25" s="26" t="s">
        <v>83</v>
      </c>
    </row>
    <row r="26" spans="1:4" ht="12.9" x14ac:dyDescent="0.3">
      <c r="A26" s="26" t="s">
        <v>83</v>
      </c>
      <c r="B26" s="26" t="s">
        <v>85</v>
      </c>
      <c r="C26" s="26"/>
      <c r="D26" s="26" t="s">
        <v>83</v>
      </c>
    </row>
    <row r="27" spans="1:4" ht="12.9" x14ac:dyDescent="0.3">
      <c r="A27" s="26" t="s">
        <v>83</v>
      </c>
      <c r="B27" s="26" t="s">
        <v>86</v>
      </c>
      <c r="C27" s="26" t="s">
        <v>87</v>
      </c>
      <c r="D27" s="26" t="s">
        <v>88</v>
      </c>
    </row>
    <row r="28" spans="1:4" ht="12.9" x14ac:dyDescent="0.3">
      <c r="A28" s="26" t="s">
        <v>83</v>
      </c>
      <c r="B28" s="26" t="s">
        <v>89</v>
      </c>
      <c r="C28" s="26" t="s">
        <v>90</v>
      </c>
      <c r="D28" s="26" t="s">
        <v>88</v>
      </c>
    </row>
    <row r="29" spans="1:4" ht="12.9" x14ac:dyDescent="0.3">
      <c r="A29" s="26" t="s">
        <v>83</v>
      </c>
      <c r="B29" s="26" t="s">
        <v>91</v>
      </c>
      <c r="C29" s="26" t="s">
        <v>92</v>
      </c>
      <c r="D29" s="26" t="s">
        <v>88</v>
      </c>
    </row>
    <row r="30" spans="1:4" ht="12.9" x14ac:dyDescent="0.3">
      <c r="A30" s="26" t="s">
        <v>83</v>
      </c>
      <c r="B30" s="26" t="s">
        <v>93</v>
      </c>
      <c r="C30" s="26" t="s">
        <v>94</v>
      </c>
      <c r="D30" s="26" t="s">
        <v>88</v>
      </c>
    </row>
    <row r="31" spans="1:4" ht="12.9" x14ac:dyDescent="0.3">
      <c r="A31" s="26" t="s">
        <v>83</v>
      </c>
      <c r="B31" s="26" t="s">
        <v>95</v>
      </c>
      <c r="C31" s="26" t="s">
        <v>34</v>
      </c>
      <c r="D31" s="26" t="s">
        <v>88</v>
      </c>
    </row>
    <row r="32" spans="1:4" ht="12.9" x14ac:dyDescent="0.3">
      <c r="A32" s="26" t="s">
        <v>83</v>
      </c>
      <c r="B32" s="26" t="s">
        <v>96</v>
      </c>
      <c r="C32" s="26" t="s">
        <v>97</v>
      </c>
      <c r="D32" s="26" t="s">
        <v>88</v>
      </c>
    </row>
    <row r="33" spans="1:4" ht="12.9" x14ac:dyDescent="0.3">
      <c r="A33" s="26" t="s">
        <v>83</v>
      </c>
      <c r="B33" s="27" t="s">
        <v>98</v>
      </c>
      <c r="C33" s="26" t="s">
        <v>99</v>
      </c>
      <c r="D33" s="26" t="s">
        <v>88</v>
      </c>
    </row>
    <row r="34" spans="1:4" ht="12.9" x14ac:dyDescent="0.3">
      <c r="A34" s="27" t="s">
        <v>83</v>
      </c>
      <c r="B34" s="27" t="s">
        <v>100</v>
      </c>
      <c r="C34" s="27" t="s">
        <v>101</v>
      </c>
      <c r="D34" s="27" t="s">
        <v>88</v>
      </c>
    </row>
    <row r="35" spans="1:4" ht="12.9" x14ac:dyDescent="0.3">
      <c r="A35" s="26" t="s">
        <v>88</v>
      </c>
      <c r="B35" s="26" t="s">
        <v>102</v>
      </c>
      <c r="C35" s="26" t="s">
        <v>103</v>
      </c>
      <c r="D35" s="26" t="s">
        <v>88</v>
      </c>
    </row>
    <row r="36" spans="1:4" ht="12.9" x14ac:dyDescent="0.3">
      <c r="A36" s="26" t="s">
        <v>88</v>
      </c>
      <c r="B36" s="26" t="s">
        <v>35</v>
      </c>
      <c r="C36" s="26" t="s">
        <v>34</v>
      </c>
      <c r="D36" s="26" t="s">
        <v>88</v>
      </c>
    </row>
    <row r="37" spans="1:4" ht="12.9" x14ac:dyDescent="0.3">
      <c r="A37" s="26" t="s">
        <v>83</v>
      </c>
      <c r="B37" s="26" t="s">
        <v>104</v>
      </c>
      <c r="C37" s="26"/>
      <c r="D37" s="26" t="s">
        <v>83</v>
      </c>
    </row>
    <row r="38" spans="1:4" ht="12.9" x14ac:dyDescent="0.3">
      <c r="A38" s="26" t="s">
        <v>88</v>
      </c>
      <c r="B38" s="27" t="s">
        <v>105</v>
      </c>
      <c r="C38" s="26" t="s">
        <v>106</v>
      </c>
      <c r="D38" s="26" t="s">
        <v>88</v>
      </c>
    </row>
    <row r="40" spans="1:4" ht="14.6" x14ac:dyDescent="0.3">
      <c r="A40" s="23" t="s">
        <v>107</v>
      </c>
    </row>
    <row r="41" spans="1:4" ht="12.9" x14ac:dyDescent="0.3">
      <c r="A41" s="26" t="s">
        <v>108</v>
      </c>
    </row>
    <row r="42" spans="1:4" ht="12.9" x14ac:dyDescent="0.3">
      <c r="A42" s="26" t="s">
        <v>46</v>
      </c>
    </row>
    <row r="43" spans="1:4" ht="12.9" x14ac:dyDescent="0.3">
      <c r="A43" s="26" t="s">
        <v>109</v>
      </c>
    </row>
    <row r="44" spans="1:4" ht="12.9" x14ac:dyDescent="0.3">
      <c r="A44" s="26" t="s">
        <v>110</v>
      </c>
    </row>
    <row r="45" spans="1:4" ht="12.9" x14ac:dyDescent="0.3">
      <c r="A45" s="26" t="s">
        <v>111</v>
      </c>
    </row>
    <row r="46" spans="1:4" ht="12.9" x14ac:dyDescent="0.3">
      <c r="A46" s="26" t="s">
        <v>112</v>
      </c>
    </row>
    <row r="47" spans="1:4" ht="12.9" x14ac:dyDescent="0.3">
      <c r="A47" s="26"/>
    </row>
    <row r="48" spans="1:4" x14ac:dyDescent="0.3">
      <c r="A48" s="24" t="s">
        <v>113</v>
      </c>
      <c r="B48" s="24"/>
      <c r="C48" s="24"/>
      <c r="D48" s="24"/>
    </row>
  </sheetData>
  <hyperlinks>
    <hyperlink ref="B20" r:id="rId1" display="https://www.iso.org/home.html" xr:uid="{2733B76E-DB6B-4EE4-9E42-EA6B5CD32E3E}"/>
  </hyperlinks>
  <pageMargins left="0.19685039370078741" right="0.19685039370078741" top="0.94488188976377963" bottom="0.74803149606299213" header="0.31496062992125984" footer="0.31496062992125984"/>
  <pageSetup paperSize="9" orientation="portrait" r:id="rId2"/>
  <headerFooter>
    <oddHeader>&amp;L&amp;G&amp;R&amp;K08+000 Activity:&amp;K01+000ISMS&amp;K08+000
 Title:&amp;K01+000 ITR-DocList
&amp;K08+000 Classification:&amp;K01+000 Internal(IN)</oddHeader>
    <oddFooter>&amp;L&amp;"Corbel,Regular"&amp;F&amp;C&amp;"Corbel,Regular"&amp;D - &amp;T&amp;R
&amp;"Corbel,Regular"&amp;A - &amp;P/&amp;N</oddFooter>
  </headerFooter>
  <legacyDrawingHF r:id="rId3"/>
  <tableParts count="4">
    <tablePart r:id="rId4"/>
    <tablePart r:id="rId5"/>
    <tablePart r:id="rId6"/>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E77D6-2841-43FE-BD1D-D0DF867052AE}">
  <sheetPr codeName="Sheet3"/>
  <dimension ref="A1:B7"/>
  <sheetViews>
    <sheetView workbookViewId="0">
      <selection activeCell="A5" sqref="A5"/>
    </sheetView>
  </sheetViews>
  <sheetFormatPr defaultRowHeight="10.75" x14ac:dyDescent="0.3"/>
  <cols>
    <col min="1" max="1" width="19.09765625" bestFit="1" customWidth="1"/>
    <col min="2" max="2" width="10.09765625" bestFit="1" customWidth="1"/>
    <col min="3" max="3" width="12" bestFit="1" customWidth="1"/>
  </cols>
  <sheetData>
    <row r="1" spans="1:2" ht="19.75" x14ac:dyDescent="0.3">
      <c r="A1" s="32" t="s">
        <v>155</v>
      </c>
    </row>
    <row r="3" spans="1:2" x14ac:dyDescent="0.3">
      <c r="A3" s="42" t="s">
        <v>153</v>
      </c>
      <c r="B3" t="s">
        <v>157</v>
      </c>
    </row>
    <row r="4" spans="1:2" x14ac:dyDescent="0.3">
      <c r="A4" s="43" t="s">
        <v>7</v>
      </c>
      <c r="B4">
        <v>1</v>
      </c>
    </row>
    <row r="5" spans="1:2" x14ac:dyDescent="0.3">
      <c r="A5" s="44" t="s">
        <v>35</v>
      </c>
      <c r="B5">
        <v>1</v>
      </c>
    </row>
    <row r="6" spans="1:2" x14ac:dyDescent="0.3">
      <c r="A6" s="45" t="s">
        <v>156</v>
      </c>
      <c r="B6">
        <v>1</v>
      </c>
    </row>
    <row r="7" spans="1:2" x14ac:dyDescent="0.3">
      <c r="A7" s="43" t="s">
        <v>154</v>
      </c>
      <c r="B7">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Hist</vt:lpstr>
      <vt:lpstr>Guide</vt:lpstr>
      <vt:lpstr>DocList</vt:lpstr>
      <vt:lpstr>Misc</vt:lpstr>
      <vt:lpstr>Parameters</vt:lpstr>
      <vt:lpstr>KPI</vt:lpstr>
      <vt:lpstr>DocList!Print_Area</vt:lpstr>
      <vt:lpstr>Guide!Print_Area</vt:lpstr>
      <vt:lpstr>Hist!Print_Area</vt:lpstr>
      <vt:lpstr>Misc!Print_Area</vt:lpstr>
      <vt:lpstr>Parameters!Print_Area</vt:lpstr>
      <vt:lpstr>DocList!Print_Titles</vt:lpstr>
      <vt:lpstr>Misc!Print_Titles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amckinnon</dc:creator>
  <cp:lastModifiedBy>Ritika Pande</cp:lastModifiedBy>
  <cp:lastPrinted>2025-04-08T15:52:44Z</cp:lastPrinted>
  <dcterms:created xsi:type="dcterms:W3CDTF">2008-06-07T09:53:51Z</dcterms:created>
  <dcterms:modified xsi:type="dcterms:W3CDTF">2025-06-19T11:48:00Z</dcterms:modified>
</cp:coreProperties>
</file>